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laropr-my.sharepoint.com/personal/ur31386_claropr_com/Documents/Mercadeo Masivo-PYMES/Boletines Corp- Pymes/Listas de Precios/"/>
    </mc:Choice>
  </mc:AlternateContent>
  <xr:revisionPtr revIDLastSave="45" documentId="8_{043C98B6-AC3B-417F-8448-315E027DA499}" xr6:coauthVersionLast="47" xr6:coauthVersionMax="47" xr10:uidLastSave="{44494085-164F-4ED4-9013-F47F52F84AF5}"/>
  <bookViews>
    <workbookView xWindow="20370" yWindow="-120" windowWidth="19440" windowHeight="10440" firstSheet="1" activeTab="1" xr2:uid="{00000000-000D-0000-FFFF-FFFF00000000}"/>
  </bookViews>
  <sheets>
    <sheet name="Ofertas Tablets y Modems" sheetId="4" state="hidden" r:id="rId1"/>
    <sheet name="Finan Equipos Móvil" sheetId="12" r:id="rId2"/>
    <sheet name="Finan Modems- Tablets-Routers" sheetId="13" r:id="rId3"/>
    <sheet name="Planes familiares FAM09A y R" sheetId="10" state="hidden" r:id="rId4"/>
    <sheet name="Planes Fam Otros LOC10A y R" sheetId="11" state="hidden" r:id="rId5"/>
    <sheet name="Precios modems, tablets, HP" sheetId="3" r:id="rId6"/>
    <sheet name="Accesorios" sheetId="20" r:id="rId7"/>
  </sheets>
  <definedNames>
    <definedName name="_xlnm._FilterDatabase" localSheetId="6" hidden="1">Accesorios!$A$1:$H$113</definedName>
    <definedName name="_xlnm._FilterDatabase" localSheetId="1" hidden="1">'Finan Equipos Móvil'!$A$10:$H$10</definedName>
    <definedName name="_xlnm._FilterDatabase" localSheetId="2" hidden="1">'Finan Modems- Tablets-Routers'!$A$5:$J$27</definedName>
    <definedName name="_xlnm._FilterDatabase" localSheetId="5" hidden="1">'Precios modems, tablets, HP'!$A$7:$IC$26</definedName>
    <definedName name="_xlnm.Print_Titles" localSheetId="6">Accesorios!#REF!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2" i="20" l="1"/>
  <c r="G152" i="20"/>
  <c r="F152" i="20"/>
  <c r="E152" i="20"/>
  <c r="H151" i="20"/>
  <c r="G151" i="20"/>
  <c r="F151" i="20"/>
  <c r="E151" i="20"/>
  <c r="H150" i="20"/>
  <c r="G150" i="20"/>
  <c r="F150" i="20"/>
  <c r="E150" i="20"/>
  <c r="H149" i="20"/>
  <c r="G149" i="20"/>
  <c r="F149" i="20"/>
  <c r="E149" i="20"/>
  <c r="H148" i="20"/>
  <c r="G148" i="20"/>
  <c r="F148" i="20"/>
  <c r="E148" i="20"/>
  <c r="H147" i="20"/>
  <c r="G147" i="20"/>
  <c r="F147" i="20"/>
  <c r="E147" i="20"/>
  <c r="H146" i="20"/>
  <c r="G146" i="20"/>
  <c r="F146" i="20"/>
  <c r="E146" i="20"/>
  <c r="H145" i="20"/>
  <c r="G145" i="20"/>
  <c r="F145" i="20"/>
  <c r="E145" i="20"/>
  <c r="H144" i="20"/>
  <c r="G144" i="20"/>
  <c r="F144" i="20"/>
  <c r="E144" i="20"/>
  <c r="H143" i="20"/>
  <c r="G143" i="20"/>
  <c r="F143" i="20"/>
  <c r="E143" i="20"/>
  <c r="H142" i="20"/>
  <c r="G142" i="20"/>
  <c r="F142" i="20"/>
  <c r="E142" i="20"/>
  <c r="H141" i="20"/>
  <c r="G141" i="20"/>
  <c r="F141" i="20"/>
  <c r="E141" i="20"/>
  <c r="H140" i="20"/>
  <c r="G140" i="20"/>
  <c r="F140" i="20"/>
  <c r="E140" i="20"/>
  <c r="H139" i="20"/>
  <c r="G139" i="20"/>
  <c r="F139" i="20"/>
  <c r="E139" i="20"/>
  <c r="H138" i="20"/>
  <c r="G138" i="20"/>
  <c r="F138" i="20"/>
  <c r="E138" i="20"/>
  <c r="H137" i="20"/>
  <c r="G137" i="20"/>
  <c r="F137" i="20"/>
  <c r="E137" i="20"/>
  <c r="H136" i="20"/>
  <c r="G136" i="20"/>
  <c r="F136" i="20"/>
  <c r="E136" i="20"/>
  <c r="H135" i="20"/>
  <c r="G135" i="20"/>
  <c r="F135" i="20"/>
  <c r="E135" i="20"/>
  <c r="H134" i="20"/>
  <c r="G134" i="20"/>
  <c r="F134" i="20"/>
  <c r="E134" i="20"/>
  <c r="H133" i="20"/>
  <c r="G133" i="20"/>
  <c r="F133" i="20"/>
  <c r="E133" i="20"/>
  <c r="H132" i="20"/>
  <c r="G132" i="20"/>
  <c r="F132" i="20"/>
  <c r="E132" i="20"/>
  <c r="H131" i="20"/>
  <c r="G131" i="20"/>
  <c r="F131" i="20"/>
  <c r="E131" i="20"/>
  <c r="H130" i="20"/>
  <c r="G130" i="20"/>
  <c r="F130" i="20"/>
  <c r="E130" i="20"/>
  <c r="H129" i="20"/>
  <c r="G129" i="20"/>
  <c r="F129" i="20"/>
  <c r="E129" i="20"/>
  <c r="H128" i="20"/>
  <c r="G128" i="20"/>
  <c r="F128" i="20"/>
  <c r="E128" i="20"/>
  <c r="H127" i="20"/>
  <c r="G127" i="20"/>
  <c r="F127" i="20"/>
  <c r="E127" i="20"/>
  <c r="H126" i="20"/>
  <c r="G126" i="20"/>
  <c r="F126" i="20"/>
  <c r="E126" i="20"/>
  <c r="H125" i="20"/>
  <c r="G125" i="20"/>
  <c r="F125" i="20"/>
  <c r="E125" i="20"/>
  <c r="H124" i="20"/>
  <c r="G124" i="20"/>
  <c r="F124" i="20"/>
  <c r="E124" i="20"/>
  <c r="H123" i="20"/>
  <c r="G123" i="20"/>
  <c r="F123" i="20"/>
  <c r="E123" i="20"/>
  <c r="H122" i="20"/>
  <c r="G122" i="20"/>
  <c r="F122" i="20"/>
  <c r="E122" i="20"/>
  <c r="H121" i="20"/>
  <c r="G121" i="20"/>
  <c r="F121" i="20"/>
  <c r="E121" i="20"/>
  <c r="H120" i="20"/>
  <c r="G120" i="20"/>
  <c r="F120" i="20"/>
  <c r="E120" i="20"/>
  <c r="H119" i="20"/>
  <c r="G119" i="20"/>
  <c r="F119" i="20"/>
  <c r="E119" i="20"/>
  <c r="H118" i="20"/>
  <c r="G118" i="20"/>
  <c r="F118" i="20"/>
  <c r="E118" i="20"/>
  <c r="H117" i="20"/>
  <c r="G117" i="20"/>
  <c r="F117" i="20"/>
  <c r="E117" i="20"/>
  <c r="H116" i="20"/>
  <c r="G116" i="20"/>
  <c r="F116" i="20"/>
  <c r="E116" i="20"/>
  <c r="H115" i="20"/>
  <c r="G115" i="20"/>
  <c r="F115" i="20"/>
  <c r="E115" i="20"/>
  <c r="H114" i="20"/>
  <c r="G114" i="20"/>
  <c r="F114" i="20"/>
  <c r="E114" i="20"/>
  <c r="H113" i="20"/>
  <c r="G113" i="20"/>
  <c r="F113" i="20"/>
  <c r="E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H109" i="20"/>
  <c r="G109" i="20"/>
  <c r="F109" i="20"/>
  <c r="E109" i="20"/>
  <c r="H108" i="20"/>
  <c r="G108" i="20"/>
  <c r="F108" i="20"/>
  <c r="E108" i="20"/>
  <c r="H107" i="20"/>
  <c r="G107" i="20"/>
  <c r="F107" i="20"/>
  <c r="E107" i="20"/>
  <c r="H106" i="20"/>
  <c r="G106" i="20"/>
  <c r="F106" i="20"/>
  <c r="E106" i="20"/>
  <c r="H105" i="20"/>
  <c r="G105" i="20"/>
  <c r="F105" i="20"/>
  <c r="E105" i="20"/>
  <c r="H104" i="20"/>
  <c r="G104" i="20"/>
  <c r="F104" i="20"/>
  <c r="E104" i="20"/>
  <c r="H103" i="20"/>
  <c r="G103" i="20"/>
  <c r="F103" i="20"/>
  <c r="E103" i="20"/>
  <c r="H102" i="20"/>
  <c r="G102" i="20"/>
  <c r="F102" i="20"/>
  <c r="E102" i="20"/>
  <c r="H101" i="20"/>
  <c r="G101" i="20"/>
  <c r="F101" i="20"/>
  <c r="E101" i="20"/>
  <c r="H100" i="20"/>
  <c r="G100" i="20"/>
  <c r="F100" i="20"/>
  <c r="E100" i="20"/>
  <c r="H99" i="20"/>
  <c r="G99" i="20"/>
  <c r="F99" i="20"/>
  <c r="E99" i="20"/>
  <c r="H98" i="20"/>
  <c r="G98" i="20"/>
  <c r="F98" i="20"/>
  <c r="E98" i="20"/>
  <c r="H97" i="20"/>
  <c r="G97" i="20"/>
  <c r="F97" i="20"/>
  <c r="E97" i="20"/>
  <c r="H96" i="20"/>
  <c r="G96" i="20"/>
  <c r="F96" i="20"/>
  <c r="E96" i="20"/>
  <c r="H95" i="20"/>
  <c r="G95" i="20"/>
  <c r="F95" i="20"/>
  <c r="E95" i="20"/>
  <c r="H94" i="20"/>
  <c r="G94" i="20"/>
  <c r="F94" i="20"/>
  <c r="E94" i="20"/>
  <c r="H93" i="20"/>
  <c r="G93" i="20"/>
  <c r="F93" i="20"/>
  <c r="E93" i="20"/>
  <c r="H92" i="20"/>
  <c r="G92" i="20"/>
  <c r="F92" i="20"/>
  <c r="E92" i="20"/>
  <c r="H91" i="20"/>
  <c r="G91" i="20"/>
  <c r="F91" i="20"/>
  <c r="E91" i="20"/>
  <c r="H90" i="20"/>
  <c r="G90" i="20"/>
  <c r="F90" i="20"/>
  <c r="E90" i="20"/>
  <c r="H89" i="20"/>
  <c r="G89" i="20"/>
  <c r="F89" i="20"/>
  <c r="E89" i="20"/>
  <c r="H88" i="20"/>
  <c r="G88" i="20"/>
  <c r="F88" i="20"/>
  <c r="E88" i="20"/>
  <c r="H87" i="20"/>
  <c r="G87" i="20"/>
  <c r="F87" i="20"/>
  <c r="E87" i="20"/>
  <c r="H86" i="20"/>
  <c r="G86" i="20"/>
  <c r="F86" i="20"/>
  <c r="E86" i="20"/>
  <c r="H85" i="20"/>
  <c r="G85" i="20"/>
  <c r="F85" i="20"/>
  <c r="E85" i="20"/>
  <c r="H84" i="20"/>
  <c r="G84" i="20"/>
  <c r="F84" i="20"/>
  <c r="E84" i="20"/>
  <c r="H83" i="20"/>
  <c r="G83" i="20"/>
  <c r="F83" i="20"/>
  <c r="E83" i="20"/>
  <c r="H82" i="20"/>
  <c r="G82" i="20"/>
  <c r="F82" i="20"/>
  <c r="E82" i="20"/>
  <c r="H81" i="20"/>
  <c r="G81" i="20"/>
  <c r="F81" i="20"/>
  <c r="E81" i="20"/>
  <c r="H80" i="20"/>
  <c r="G80" i="20"/>
  <c r="F80" i="20"/>
  <c r="E80" i="20"/>
  <c r="H79" i="20"/>
  <c r="G79" i="20"/>
  <c r="F79" i="20"/>
  <c r="E79" i="20"/>
  <c r="H78" i="20"/>
  <c r="G78" i="20"/>
  <c r="F78" i="20"/>
  <c r="E78" i="20"/>
  <c r="H77" i="20"/>
  <c r="G77" i="20"/>
  <c r="F77" i="20"/>
  <c r="E77" i="20"/>
  <c r="H76" i="20"/>
  <c r="G76" i="20"/>
  <c r="F76" i="20"/>
  <c r="E76" i="20"/>
  <c r="H75" i="20"/>
  <c r="G75" i="20"/>
  <c r="F75" i="20"/>
  <c r="E75" i="20"/>
  <c r="H74" i="20"/>
  <c r="G74" i="20"/>
  <c r="F74" i="20"/>
  <c r="E74" i="20"/>
  <c r="H73" i="20"/>
  <c r="G73" i="20"/>
  <c r="F73" i="20"/>
  <c r="E73" i="20"/>
  <c r="H72" i="20"/>
  <c r="G72" i="20"/>
  <c r="F72" i="20"/>
  <c r="E72" i="20"/>
  <c r="H71" i="20"/>
  <c r="G71" i="20"/>
  <c r="F71" i="20"/>
  <c r="E71" i="20"/>
  <c r="H70" i="20"/>
  <c r="G70" i="20"/>
  <c r="F70" i="20"/>
  <c r="E70" i="20"/>
  <c r="H69" i="20"/>
  <c r="G69" i="20"/>
  <c r="F69" i="20"/>
  <c r="E69" i="20"/>
  <c r="H68" i="20"/>
  <c r="G68" i="20"/>
  <c r="F68" i="20"/>
  <c r="E68" i="20"/>
  <c r="H67" i="20"/>
  <c r="G67" i="20"/>
  <c r="F67" i="20"/>
  <c r="E67" i="20"/>
  <c r="H66" i="20"/>
  <c r="G66" i="20"/>
  <c r="F66" i="20"/>
  <c r="E66" i="20"/>
  <c r="H65" i="20"/>
  <c r="G65" i="20"/>
  <c r="F65" i="20"/>
  <c r="E65" i="20"/>
  <c r="H64" i="20"/>
  <c r="G64" i="20"/>
  <c r="F64" i="20"/>
  <c r="E64" i="20"/>
  <c r="H63" i="20"/>
  <c r="G63" i="20"/>
  <c r="F63" i="20"/>
  <c r="E63" i="20"/>
  <c r="H62" i="20"/>
  <c r="G62" i="20"/>
  <c r="F62" i="20"/>
  <c r="E62" i="20"/>
  <c r="H61" i="20"/>
  <c r="G61" i="20"/>
  <c r="F61" i="20"/>
  <c r="E61" i="20"/>
  <c r="H60" i="20"/>
  <c r="G60" i="20"/>
  <c r="F60" i="20"/>
  <c r="E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H56" i="20"/>
  <c r="G56" i="20"/>
  <c r="F56" i="20"/>
  <c r="E56" i="20"/>
  <c r="H55" i="20"/>
  <c r="G55" i="20"/>
  <c r="F55" i="20"/>
  <c r="E55" i="20"/>
  <c r="H54" i="20"/>
  <c r="G54" i="20"/>
  <c r="F54" i="20"/>
  <c r="E54" i="20"/>
  <c r="H53" i="20"/>
  <c r="G53" i="20"/>
  <c r="F53" i="20"/>
  <c r="E53" i="20"/>
  <c r="H52" i="20"/>
  <c r="G52" i="20"/>
  <c r="F52" i="20"/>
  <c r="E52" i="20"/>
  <c r="H51" i="20"/>
  <c r="G51" i="20"/>
  <c r="F51" i="20"/>
  <c r="E51" i="20"/>
  <c r="H50" i="20"/>
  <c r="G50" i="20"/>
  <c r="F50" i="20"/>
  <c r="E50" i="20"/>
  <c r="H49" i="20"/>
  <c r="G49" i="20"/>
  <c r="F49" i="20"/>
  <c r="E49" i="20"/>
  <c r="H48" i="20"/>
  <c r="G48" i="20"/>
  <c r="F48" i="20"/>
  <c r="E48" i="20"/>
  <c r="H47" i="20"/>
  <c r="G47" i="20"/>
  <c r="F47" i="20"/>
  <c r="E47" i="20"/>
  <c r="H46" i="20"/>
  <c r="G46" i="20"/>
  <c r="F46" i="20"/>
  <c r="E46" i="20"/>
  <c r="H45" i="20"/>
  <c r="G45" i="20"/>
  <c r="F45" i="20"/>
  <c r="E45" i="20"/>
  <c r="H44" i="20"/>
  <c r="G44" i="20"/>
  <c r="F44" i="20"/>
  <c r="E44" i="20"/>
  <c r="H43" i="20"/>
  <c r="G43" i="20"/>
  <c r="F43" i="20"/>
  <c r="E43" i="20"/>
  <c r="H42" i="20"/>
  <c r="G42" i="20"/>
  <c r="F42" i="20"/>
  <c r="E42" i="20"/>
  <c r="H41" i="20"/>
  <c r="G41" i="20"/>
  <c r="F41" i="20"/>
  <c r="E41" i="20"/>
  <c r="H40" i="20"/>
  <c r="G40" i="20"/>
  <c r="F40" i="20"/>
  <c r="E40" i="20"/>
  <c r="H39" i="20"/>
  <c r="G39" i="20"/>
  <c r="F39" i="20"/>
  <c r="E39" i="20"/>
  <c r="H38" i="20"/>
  <c r="G38" i="20"/>
  <c r="F38" i="20"/>
  <c r="E38" i="20"/>
  <c r="H37" i="20"/>
  <c r="G37" i="20"/>
  <c r="F37" i="20"/>
  <c r="E37" i="20"/>
  <c r="H36" i="20"/>
  <c r="G36" i="20"/>
  <c r="F36" i="20"/>
  <c r="E36" i="20"/>
  <c r="H35" i="20"/>
  <c r="G35" i="20"/>
  <c r="F35" i="20"/>
  <c r="E35" i="20"/>
  <c r="H34" i="20"/>
  <c r="G34" i="20"/>
  <c r="F34" i="20"/>
  <c r="E34" i="20"/>
  <c r="H33" i="20"/>
  <c r="G33" i="20"/>
  <c r="F33" i="20"/>
  <c r="E33" i="20"/>
  <c r="H32" i="20"/>
  <c r="G32" i="20"/>
  <c r="F32" i="20"/>
  <c r="E32" i="20"/>
  <c r="H31" i="20"/>
  <c r="G31" i="20"/>
  <c r="F31" i="20"/>
  <c r="E31" i="20"/>
  <c r="H30" i="20"/>
  <c r="G30" i="20"/>
  <c r="F30" i="20"/>
  <c r="E30" i="20"/>
  <c r="H29" i="20"/>
  <c r="G29" i="20"/>
  <c r="F29" i="20"/>
  <c r="E29" i="20"/>
  <c r="H28" i="20"/>
  <c r="G28" i="20"/>
  <c r="F28" i="20"/>
  <c r="E28" i="20"/>
  <c r="H27" i="20"/>
  <c r="G27" i="20"/>
  <c r="F27" i="20"/>
  <c r="E27" i="20"/>
  <c r="H26" i="20"/>
  <c r="G26" i="20"/>
  <c r="F26" i="20"/>
  <c r="E26" i="20"/>
  <c r="H25" i="20"/>
  <c r="G25" i="20"/>
  <c r="F25" i="20"/>
  <c r="E25" i="20"/>
  <c r="H24" i="20"/>
  <c r="G24" i="20"/>
  <c r="F24" i="20"/>
  <c r="E24" i="20"/>
  <c r="H23" i="20"/>
  <c r="G23" i="20"/>
  <c r="F23" i="20"/>
  <c r="E23" i="20"/>
  <c r="H22" i="20"/>
  <c r="G22" i="20"/>
  <c r="F22" i="20"/>
  <c r="E22" i="20"/>
  <c r="H21" i="20"/>
  <c r="G21" i="20"/>
  <c r="F21" i="20"/>
  <c r="E21" i="20"/>
  <c r="H20" i="20"/>
  <c r="G20" i="20"/>
  <c r="F20" i="20"/>
  <c r="E20" i="20"/>
  <c r="H19" i="20"/>
  <c r="G19" i="20"/>
  <c r="F19" i="20"/>
  <c r="E19" i="20"/>
  <c r="H18" i="20"/>
  <c r="G18" i="20"/>
  <c r="F18" i="20"/>
  <c r="E18" i="20"/>
  <c r="H17" i="20"/>
  <c r="G17" i="20"/>
  <c r="F17" i="20"/>
  <c r="E17" i="20"/>
  <c r="H16" i="20"/>
  <c r="G16" i="20"/>
  <c r="F16" i="20"/>
  <c r="E16" i="20"/>
  <c r="H15" i="20"/>
  <c r="G15" i="20"/>
  <c r="F15" i="20"/>
  <c r="E15" i="20"/>
  <c r="H14" i="20"/>
  <c r="G14" i="20"/>
  <c r="F14" i="20"/>
  <c r="E14" i="20"/>
  <c r="H13" i="20"/>
  <c r="G13" i="20"/>
  <c r="F13" i="20"/>
  <c r="E13" i="20"/>
  <c r="H12" i="20"/>
  <c r="G12" i="20"/>
  <c r="F12" i="20"/>
  <c r="E12" i="20"/>
  <c r="H11" i="20"/>
  <c r="G11" i="20"/>
  <c r="F11" i="20"/>
  <c r="E11" i="20"/>
  <c r="H10" i="20"/>
  <c r="G10" i="20"/>
  <c r="F10" i="20"/>
  <c r="E10" i="20"/>
  <c r="H7" i="20"/>
  <c r="G7" i="20"/>
  <c r="F7" i="20"/>
  <c r="E7" i="20"/>
  <c r="H70" i="12"/>
  <c r="G70" i="12"/>
  <c r="F70" i="12"/>
  <c r="E70" i="12"/>
  <c r="H69" i="12"/>
  <c r="G69" i="12"/>
  <c r="F69" i="12"/>
  <c r="E69" i="12"/>
  <c r="H68" i="12"/>
  <c r="G68" i="12"/>
  <c r="F68" i="12"/>
  <c r="E68" i="12"/>
  <c r="H67" i="12"/>
  <c r="G67" i="12"/>
  <c r="F67" i="12"/>
  <c r="E67" i="12"/>
  <c r="H66" i="12"/>
  <c r="G66" i="12"/>
  <c r="F66" i="12"/>
  <c r="E66" i="12"/>
  <c r="H65" i="12"/>
  <c r="G65" i="12"/>
  <c r="F65" i="12"/>
  <c r="E65" i="12"/>
  <c r="H64" i="12"/>
  <c r="G64" i="12"/>
  <c r="F64" i="12"/>
  <c r="E64" i="12"/>
  <c r="H63" i="12"/>
  <c r="G63" i="12"/>
  <c r="F63" i="12"/>
  <c r="E63" i="12"/>
  <c r="H62" i="12"/>
  <c r="G62" i="12"/>
  <c r="F62" i="12"/>
  <c r="E62" i="12"/>
  <c r="H61" i="12"/>
  <c r="G61" i="12"/>
  <c r="F61" i="12"/>
  <c r="E61" i="12"/>
  <c r="H60" i="12"/>
  <c r="G60" i="12"/>
  <c r="F60" i="12"/>
  <c r="E60" i="12"/>
  <c r="H59" i="12"/>
  <c r="G59" i="12"/>
  <c r="F59" i="12"/>
  <c r="E59" i="12"/>
  <c r="H58" i="12"/>
  <c r="G58" i="12"/>
  <c r="F58" i="12"/>
  <c r="E58" i="12"/>
  <c r="H53" i="12"/>
  <c r="G53" i="12"/>
  <c r="F53" i="12"/>
  <c r="E53" i="12"/>
  <c r="H52" i="12"/>
  <c r="G52" i="12"/>
  <c r="F52" i="12"/>
  <c r="E52" i="12"/>
  <c r="H51" i="12"/>
  <c r="G51" i="12"/>
  <c r="F51" i="12"/>
  <c r="E51" i="12"/>
  <c r="H50" i="12"/>
  <c r="G50" i="12"/>
  <c r="F50" i="12"/>
  <c r="E50" i="12"/>
  <c r="H42" i="12"/>
  <c r="G42" i="12"/>
  <c r="F42" i="12"/>
  <c r="E42" i="12"/>
  <c r="H41" i="12"/>
  <c r="G41" i="12"/>
  <c r="F41" i="12"/>
  <c r="E41" i="12"/>
  <c r="H40" i="12"/>
  <c r="G40" i="12"/>
  <c r="F40" i="12"/>
  <c r="E40" i="12"/>
  <c r="H39" i="12"/>
  <c r="G39" i="12"/>
  <c r="F39" i="12"/>
  <c r="E39" i="12"/>
  <c r="H38" i="12"/>
  <c r="G38" i="12"/>
  <c r="F38" i="12"/>
  <c r="E38" i="12"/>
  <c r="H30" i="12"/>
  <c r="G30" i="12"/>
  <c r="F30" i="12"/>
  <c r="E30" i="12"/>
  <c r="H29" i="12"/>
  <c r="G29" i="12"/>
  <c r="F29" i="12"/>
  <c r="E29" i="12"/>
  <c r="H28" i="12"/>
  <c r="G28" i="12"/>
  <c r="F28" i="12"/>
  <c r="E28" i="12"/>
  <c r="H27" i="12"/>
  <c r="G27" i="12"/>
  <c r="F27" i="12"/>
  <c r="E27" i="12"/>
  <c r="H17" i="12"/>
  <c r="G17" i="12"/>
  <c r="F17" i="12"/>
  <c r="E17" i="12"/>
  <c r="H16" i="12"/>
  <c r="G16" i="12"/>
  <c r="F16" i="12"/>
  <c r="E16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77" i="12" l="1"/>
  <c r="G77" i="12"/>
  <c r="F77" i="12"/>
  <c r="E77" i="12"/>
  <c r="H76" i="12"/>
  <c r="G76" i="12"/>
  <c r="F76" i="12"/>
  <c r="E76" i="12"/>
  <c r="H75" i="12"/>
  <c r="G75" i="12"/>
  <c r="F75" i="12"/>
  <c r="E75" i="12"/>
  <c r="H49" i="12"/>
  <c r="G49" i="12"/>
  <c r="F49" i="12"/>
  <c r="E49" i="12"/>
  <c r="H48" i="12"/>
  <c r="G48" i="12"/>
  <c r="F48" i="12"/>
  <c r="E48" i="12"/>
  <c r="H47" i="12"/>
  <c r="G47" i="12"/>
  <c r="F47" i="12"/>
  <c r="E47" i="12"/>
  <c r="H20" i="12"/>
  <c r="G20" i="12"/>
  <c r="F20" i="12"/>
  <c r="E20" i="12"/>
  <c r="H19" i="12"/>
  <c r="G19" i="12"/>
  <c r="F19" i="12"/>
  <c r="E19" i="12"/>
  <c r="H15" i="12"/>
  <c r="G15" i="12"/>
  <c r="F15" i="12"/>
  <c r="E15" i="12"/>
  <c r="H23" i="12" l="1"/>
  <c r="G23" i="12"/>
  <c r="F23" i="12"/>
  <c r="E23" i="12"/>
  <c r="H22" i="12"/>
  <c r="G22" i="12"/>
  <c r="F22" i="12"/>
  <c r="E22" i="12"/>
  <c r="H21" i="12"/>
  <c r="G21" i="12"/>
  <c r="F21" i="12"/>
  <c r="E21" i="12"/>
  <c r="H37" i="12" l="1"/>
  <c r="G37" i="12"/>
  <c r="F37" i="12"/>
  <c r="E37" i="12"/>
  <c r="H36" i="12"/>
  <c r="G36" i="12"/>
  <c r="F36" i="12"/>
  <c r="E36" i="12"/>
  <c r="H35" i="12"/>
  <c r="G35" i="12"/>
  <c r="F35" i="12"/>
  <c r="E35" i="12"/>
  <c r="H34" i="12"/>
  <c r="G34" i="12"/>
  <c r="F34" i="12"/>
  <c r="E34" i="12"/>
  <c r="H33" i="12"/>
  <c r="G33" i="12"/>
  <c r="F33" i="12"/>
  <c r="E33" i="12"/>
  <c r="E18" i="12"/>
  <c r="F18" i="12"/>
  <c r="G18" i="12"/>
  <c r="H18" i="12"/>
  <c r="E24" i="12"/>
  <c r="F24" i="12"/>
  <c r="G24" i="12"/>
  <c r="H24" i="12"/>
  <c r="E25" i="12"/>
  <c r="F25" i="12"/>
  <c r="G25" i="12"/>
  <c r="H25" i="12"/>
  <c r="E26" i="12"/>
  <c r="F26" i="12"/>
  <c r="G26" i="12"/>
  <c r="H26" i="12"/>
  <c r="E31" i="12"/>
  <c r="F31" i="12"/>
  <c r="G31" i="12"/>
  <c r="H31" i="12"/>
  <c r="E32" i="12"/>
  <c r="F32" i="12"/>
  <c r="G32" i="12"/>
  <c r="H32" i="12"/>
  <c r="E43" i="12"/>
  <c r="F43" i="12"/>
  <c r="G43" i="12"/>
  <c r="H43" i="12"/>
  <c r="E44" i="12"/>
  <c r="F44" i="12"/>
  <c r="G44" i="12"/>
  <c r="H44" i="12"/>
  <c r="E45" i="12"/>
  <c r="F45" i="12"/>
  <c r="G45" i="12"/>
  <c r="H45" i="12"/>
  <c r="E46" i="12"/>
  <c r="F46" i="12"/>
  <c r="G46" i="12"/>
  <c r="H46" i="12"/>
  <c r="E54" i="12"/>
  <c r="F54" i="12"/>
  <c r="G54" i="12"/>
  <c r="H54" i="12"/>
  <c r="E55" i="12"/>
  <c r="F55" i="12"/>
  <c r="G55" i="12"/>
  <c r="H55" i="12"/>
  <c r="E56" i="12"/>
  <c r="F56" i="12"/>
  <c r="G56" i="12"/>
  <c r="H56" i="12"/>
  <c r="E57" i="12"/>
  <c r="F57" i="12"/>
  <c r="G57" i="12"/>
  <c r="H57" i="12"/>
  <c r="E71" i="12"/>
  <c r="F71" i="12"/>
  <c r="G71" i="12"/>
  <c r="H71" i="12"/>
  <c r="E72" i="12"/>
  <c r="F72" i="12"/>
  <c r="G72" i="12"/>
  <c r="H72" i="12"/>
  <c r="E73" i="12"/>
  <c r="F73" i="12"/>
  <c r="G73" i="12"/>
  <c r="H73" i="12"/>
  <c r="E74" i="12"/>
  <c r="F74" i="12"/>
  <c r="G74" i="12"/>
  <c r="H74" i="12"/>
  <c r="I20" i="13"/>
  <c r="H20" i="13"/>
  <c r="G20" i="13"/>
  <c r="F20" i="13"/>
  <c r="I15" i="13"/>
  <c r="H15" i="13"/>
  <c r="G15" i="13"/>
  <c r="F15" i="13"/>
  <c r="F7" i="13"/>
  <c r="G7" i="13"/>
  <c r="H7" i="13"/>
  <c r="I7" i="13"/>
  <c r="I19" i="13" l="1"/>
  <c r="H19" i="13"/>
  <c r="G19" i="13"/>
  <c r="F19" i="13"/>
  <c r="I23" i="13"/>
  <c r="H23" i="13"/>
  <c r="G23" i="13"/>
  <c r="F23" i="13"/>
  <c r="I22" i="13"/>
  <c r="H22" i="13"/>
  <c r="G22" i="13"/>
  <c r="F22" i="13"/>
  <c r="I21" i="13"/>
  <c r="H21" i="13"/>
  <c r="G21" i="13"/>
  <c r="F21" i="13"/>
  <c r="I18" i="13"/>
  <c r="H18" i="13"/>
  <c r="G18" i="13"/>
  <c r="F18" i="13"/>
  <c r="I17" i="13"/>
  <c r="H17" i="13"/>
  <c r="G17" i="13"/>
  <c r="F17" i="13"/>
  <c r="I16" i="13"/>
  <c r="H16" i="13"/>
  <c r="G16" i="13"/>
  <c r="F16" i="13"/>
  <c r="I14" i="13"/>
  <c r="H14" i="13"/>
  <c r="G14" i="13"/>
  <c r="F14" i="13"/>
  <c r="I27" i="13"/>
  <c r="H27" i="13"/>
  <c r="G27" i="13"/>
  <c r="F27" i="13"/>
  <c r="I26" i="13"/>
  <c r="H26" i="13"/>
  <c r="G26" i="13"/>
  <c r="F26" i="13"/>
  <c r="I25" i="13"/>
  <c r="H25" i="13"/>
  <c r="G25" i="13"/>
  <c r="F25" i="13"/>
  <c r="I24" i="13"/>
  <c r="H24" i="13"/>
  <c r="G24" i="13"/>
  <c r="F24" i="13"/>
  <c r="I13" i="13"/>
  <c r="H13" i="13"/>
  <c r="G13" i="13"/>
  <c r="F13" i="13"/>
  <c r="I10" i="13"/>
  <c r="H10" i="13"/>
  <c r="G10" i="13"/>
  <c r="F10" i="13"/>
  <c r="I9" i="13"/>
  <c r="H9" i="13"/>
  <c r="G9" i="13"/>
  <c r="F9" i="13"/>
  <c r="I8" i="13"/>
  <c r="H8" i="13"/>
  <c r="G8" i="13"/>
  <c r="F8" i="13"/>
</calcChain>
</file>

<file path=xl/sharedStrings.xml><?xml version="1.0" encoding="utf-8"?>
<sst xmlns="http://schemas.openxmlformats.org/spreadsheetml/2006/main" count="1178" uniqueCount="1016">
  <si>
    <t>ACTIVACION Y RETENCION</t>
  </si>
  <si>
    <t>Antiguo Item Code SIF</t>
  </si>
  <si>
    <t>Nuevo Item Code SIF</t>
  </si>
  <si>
    <t>Número de Material SAP - Aplica solo a Canal Indirecto</t>
  </si>
  <si>
    <t xml:space="preserve">Marca </t>
  </si>
  <si>
    <r>
      <t xml:space="preserve">LOC10A
</t>
    </r>
    <r>
      <rPr>
        <b/>
        <sz val="11"/>
        <color rgb="FF993300"/>
        <rFont val="Arial"/>
        <family val="2"/>
      </rPr>
      <t>LOC10R</t>
    </r>
  </si>
  <si>
    <t>Azumi</t>
  </si>
  <si>
    <t>30020H</t>
  </si>
  <si>
    <t>AZUMI AC24G</t>
  </si>
  <si>
    <t>iPhone</t>
  </si>
  <si>
    <t>30057H</t>
  </si>
  <si>
    <t>IPHONE 7 32GB SILVER</t>
  </si>
  <si>
    <t>30058H</t>
  </si>
  <si>
    <t>IPHONE 7 32GB ROSE GOLD</t>
  </si>
  <si>
    <t>30059H</t>
  </si>
  <si>
    <t>IPHONE 7 32GB GOLD</t>
  </si>
  <si>
    <t>30060H</t>
  </si>
  <si>
    <t>IPHONE 7 32GB BLACK</t>
  </si>
  <si>
    <t>LG</t>
  </si>
  <si>
    <t>Motorola</t>
  </si>
  <si>
    <t>PCD</t>
  </si>
  <si>
    <t>30037H</t>
  </si>
  <si>
    <t>PCD PH4002 NEGRO</t>
  </si>
  <si>
    <t>Samsung</t>
  </si>
  <si>
    <t>30574H</t>
  </si>
  <si>
    <t>SAMSUNG GALAXY S9+ NEGRO</t>
  </si>
  <si>
    <t>30575H</t>
  </si>
  <si>
    <t>SAMSUNG GALAXY S9+ AZUL</t>
  </si>
  <si>
    <t>30576H</t>
  </si>
  <si>
    <t>SAMSUNG GALAXY S9+ VIOLETA</t>
  </si>
  <si>
    <t>30571H</t>
  </si>
  <si>
    <t>SAMSUNG GALAXY S9 NEGRO</t>
  </si>
  <si>
    <t>30572H</t>
  </si>
  <si>
    <t>SAMSUNG GALAXY S9 AZUL</t>
  </si>
  <si>
    <t>30573H</t>
  </si>
  <si>
    <t>SAMSUNG GALAXY S9 VIOLETA</t>
  </si>
  <si>
    <t>Sony</t>
  </si>
  <si>
    <t>Verykool</t>
  </si>
  <si>
    <t xml:space="preserve">30538H </t>
  </si>
  <si>
    <t>VERYKOOL SL5029 BOLT PRO SILVER</t>
  </si>
  <si>
    <t xml:space="preserve">Precios Pospago 2 Años de Contrato Equipos </t>
  </si>
  <si>
    <t>EQUIPOS</t>
  </si>
  <si>
    <t>Precio Sin Contrato</t>
  </si>
  <si>
    <t>Precio a 2 años de contrato $9.99</t>
  </si>
  <si>
    <t>Precio a 2 años de contrato $14.99</t>
  </si>
  <si>
    <t>Precio a 2 años de contrato $19.99</t>
  </si>
  <si>
    <t>Precio a 2 años de contrato $29.99</t>
  </si>
  <si>
    <t>Precio a 2 años de contrato $39.99</t>
  </si>
  <si>
    <t>Precio a 2 años de contrato $49.99</t>
  </si>
  <si>
    <t>Precio a 2 años de contrato $59.99</t>
  </si>
  <si>
    <t>Precio a 2 años de contrato $69.99</t>
  </si>
  <si>
    <t>Precio a 2 años de contrato $79.99</t>
  </si>
  <si>
    <t>Precio a 2 años de contrato $89.99</t>
  </si>
  <si>
    <t>Precio a 2 años de contrato $99.99</t>
  </si>
  <si>
    <t>Tecnologia</t>
  </si>
  <si>
    <t>GSM</t>
  </si>
  <si>
    <t>DATA MODEMS 3G/4G</t>
  </si>
  <si>
    <t>GSM/LTE</t>
  </si>
  <si>
    <t>50627H</t>
  </si>
  <si>
    <t>70003138</t>
  </si>
  <si>
    <t>BANDRICH P530A MOVIL</t>
  </si>
  <si>
    <t>4G/LTE</t>
  </si>
  <si>
    <t>40897H</t>
  </si>
  <si>
    <t>70003757</t>
  </si>
  <si>
    <t>Alcatel Y859 Negro</t>
  </si>
  <si>
    <t>TABLETS</t>
  </si>
  <si>
    <t>40645H</t>
  </si>
  <si>
    <t>70001652</t>
  </si>
  <si>
    <t>AZUMI AT8</t>
  </si>
  <si>
    <t>50638H</t>
  </si>
  <si>
    <t>70002534</t>
  </si>
  <si>
    <t>ALCATEL P310 POP 7 TABLET BLANCO</t>
  </si>
  <si>
    <t>50610H</t>
  </si>
  <si>
    <t>70002592</t>
  </si>
  <si>
    <t>VERYKOOL T742 BLACK</t>
  </si>
  <si>
    <t>50846H</t>
  </si>
  <si>
    <t>70003810</t>
  </si>
  <si>
    <t xml:space="preserve"> AZUMI ARKIA AT7 Black White</t>
  </si>
  <si>
    <t>50894H</t>
  </si>
  <si>
    <t>70003792</t>
  </si>
  <si>
    <t>ARKIA AT7 Silver</t>
  </si>
  <si>
    <t xml:space="preserve">Precios Ofertas Pospago 2 Años de Contrato Equipos </t>
  </si>
  <si>
    <t xml:space="preserve">
Precios Sin Contrato (Prepago y BYOP)</t>
  </si>
  <si>
    <t>BFPRE</t>
  </si>
  <si>
    <r>
      <t xml:space="preserve">CL09OA
</t>
    </r>
    <r>
      <rPr>
        <b/>
        <i/>
        <sz val="12"/>
        <color indexed="60"/>
        <rFont val="Arial"/>
        <family val="2"/>
      </rPr>
      <t>CL09OR</t>
    </r>
  </si>
  <si>
    <r>
      <t xml:space="preserve">CL14OA
</t>
    </r>
    <r>
      <rPr>
        <b/>
        <i/>
        <sz val="12"/>
        <color indexed="60"/>
        <rFont val="Arial"/>
        <family val="2"/>
      </rPr>
      <t>CL14OR</t>
    </r>
  </si>
  <si>
    <r>
      <t xml:space="preserve">CL19OA
</t>
    </r>
    <r>
      <rPr>
        <b/>
        <i/>
        <sz val="12"/>
        <color indexed="60"/>
        <rFont val="Arial"/>
        <family val="2"/>
      </rPr>
      <t>CL19OR</t>
    </r>
  </si>
  <si>
    <r>
      <t xml:space="preserve">CL29OA
</t>
    </r>
    <r>
      <rPr>
        <b/>
        <i/>
        <sz val="12"/>
        <color indexed="60"/>
        <rFont val="Arial"/>
        <family val="2"/>
      </rPr>
      <t>CL29OR</t>
    </r>
  </si>
  <si>
    <r>
      <t xml:space="preserve">CL39OA
</t>
    </r>
    <r>
      <rPr>
        <b/>
        <i/>
        <sz val="12"/>
        <color indexed="60"/>
        <rFont val="Arial"/>
        <family val="2"/>
      </rPr>
      <t>CL39OR</t>
    </r>
  </si>
  <si>
    <r>
      <t xml:space="preserve">CL49OA
</t>
    </r>
    <r>
      <rPr>
        <b/>
        <i/>
        <sz val="12"/>
        <color indexed="60"/>
        <rFont val="Arial"/>
        <family val="2"/>
      </rPr>
      <t>CL49OR</t>
    </r>
  </si>
  <si>
    <r>
      <t xml:space="preserve">CL59OA
</t>
    </r>
    <r>
      <rPr>
        <b/>
        <i/>
        <sz val="12"/>
        <color indexed="60"/>
        <rFont val="Arial"/>
        <family val="2"/>
      </rPr>
      <t>CL59OR</t>
    </r>
  </si>
  <si>
    <r>
      <t xml:space="preserve">CL69OA
</t>
    </r>
    <r>
      <rPr>
        <b/>
        <i/>
        <sz val="12"/>
        <color indexed="60"/>
        <rFont val="Arial"/>
        <family val="2"/>
      </rPr>
      <t>CL69OR</t>
    </r>
  </si>
  <si>
    <r>
      <t xml:space="preserve">CL79OA
</t>
    </r>
    <r>
      <rPr>
        <b/>
        <i/>
        <sz val="12"/>
        <color indexed="60"/>
        <rFont val="Arial"/>
        <family val="2"/>
      </rPr>
      <t>CL79OR</t>
    </r>
  </si>
  <si>
    <r>
      <t xml:space="preserve">CL89OA
</t>
    </r>
    <r>
      <rPr>
        <b/>
        <i/>
        <sz val="12"/>
        <color indexed="60"/>
        <rFont val="Arial"/>
        <family val="2"/>
      </rPr>
      <t>CL89OR</t>
    </r>
  </si>
  <si>
    <r>
      <t xml:space="preserve">CL99OA
</t>
    </r>
    <r>
      <rPr>
        <b/>
        <i/>
        <sz val="12"/>
        <color indexed="60"/>
        <rFont val="Arial"/>
        <family val="2"/>
      </rPr>
      <t>CL99OR</t>
    </r>
  </si>
  <si>
    <t>N/A</t>
  </si>
  <si>
    <t>50767H</t>
  </si>
  <si>
    <t>70003910</t>
  </si>
  <si>
    <t>SAMSUNG GALAXY TAB 4 10.1 T531 BLACK</t>
  </si>
  <si>
    <t>50631H</t>
  </si>
  <si>
    <t>70002596</t>
  </si>
  <si>
    <t>SAMSUNG GALAXY TAB 4 10.1 T531 WHITE</t>
  </si>
  <si>
    <t>50766H</t>
  </si>
  <si>
    <t>70002479</t>
  </si>
  <si>
    <t>SAMSUNG GALAXY TAB 4 7.0 T231 BLACK</t>
  </si>
  <si>
    <t>50632H</t>
  </si>
  <si>
    <t>70002536</t>
  </si>
  <si>
    <t>SAMSUNG GALAXY TAB 4 7.0 T231 WHITE</t>
  </si>
  <si>
    <t xml:space="preserve"> </t>
  </si>
  <si>
    <t xml:space="preserve">Lista de Precios de Update Plus </t>
  </si>
  <si>
    <t xml:space="preserve">Estos precios aplican cuando el cliente activa  una línea o más en cualquier plan mensual en Update
</t>
  </si>
  <si>
    <t xml:space="preserve"> Item Code SIF</t>
  </si>
  <si>
    <t>Modelo</t>
  </si>
  <si>
    <t xml:space="preserve"> Precio </t>
  </si>
  <si>
    <t>Mensualidad 24 meses</t>
  </si>
  <si>
    <t>Mensualidad 30 meses</t>
  </si>
  <si>
    <t>Mensualidad 36 meses</t>
  </si>
  <si>
    <t>Price Code</t>
  </si>
  <si>
    <t>Mensualidad 12 meses</t>
  </si>
  <si>
    <t>Precios Pospago Planes Familiares 2 Años de Contrato</t>
  </si>
  <si>
    <t>Precio a 2 años de contrato</t>
  </si>
  <si>
    <r>
      <t xml:space="preserve">FAM09A
</t>
    </r>
    <r>
      <rPr>
        <b/>
        <sz val="11"/>
        <color rgb="FF993300"/>
        <rFont val="Arial"/>
        <family val="2"/>
      </rPr>
      <t>FAM09R</t>
    </r>
  </si>
  <si>
    <t>Tablets</t>
  </si>
  <si>
    <t>Precios Planes Familiares de Pospago 2 Años de Contrato</t>
  </si>
  <si>
    <t>1ro al 31 de agosto de 2018</t>
  </si>
  <si>
    <t>30624H</t>
  </si>
  <si>
    <t>LG  V35 PLATA</t>
  </si>
  <si>
    <t>30648H</t>
  </si>
  <si>
    <t>30649H</t>
  </si>
  <si>
    <t>30650H</t>
  </si>
  <si>
    <t>GALAXY NOTE 9 BLUE</t>
  </si>
  <si>
    <t>GALAXY NOTE 9 BLACK</t>
  </si>
  <si>
    <t>GALAXY NOTE 9 PURPLE</t>
  </si>
  <si>
    <t>30751H</t>
  </si>
  <si>
    <t>30752H</t>
  </si>
  <si>
    <t>30753H</t>
  </si>
  <si>
    <t>30754H</t>
  </si>
  <si>
    <t>30755H</t>
  </si>
  <si>
    <t>30756H</t>
  </si>
  <si>
    <t>30757H</t>
  </si>
  <si>
    <t>30758H</t>
  </si>
  <si>
    <t>30759H</t>
  </si>
  <si>
    <t>30760H</t>
  </si>
  <si>
    <t>IPH XR 64GB BLACK</t>
  </si>
  <si>
    <t>IPH XR 64GB WHITE</t>
  </si>
  <si>
    <t>IPH XR 64GB RED</t>
  </si>
  <si>
    <t>IPH XR 64GB BLUE</t>
  </si>
  <si>
    <t>IPH XR 64GB CORAL</t>
  </si>
  <si>
    <t>IPH XR 128GB BLACK</t>
  </si>
  <si>
    <t>IPH XR 128GB WHITE</t>
  </si>
  <si>
    <t>IPH XR 128GB RED</t>
  </si>
  <si>
    <t>IPH XR 128GB BLUE</t>
  </si>
  <si>
    <t>IPH XR 128GB CORAL</t>
  </si>
  <si>
    <t>30681H</t>
  </si>
  <si>
    <t>IPH XS MAX 64GB SPACE GRAY</t>
  </si>
  <si>
    <t>30682H</t>
  </si>
  <si>
    <t>IPH XS MAX 64GB SILVER</t>
  </si>
  <si>
    <t>30683H</t>
  </si>
  <si>
    <t>IPH XS MAX 64GB GOLD</t>
  </si>
  <si>
    <t>30684H</t>
  </si>
  <si>
    <t>IPH XS MAX 256GB SPACE GRAY</t>
  </si>
  <si>
    <t>30685H</t>
  </si>
  <si>
    <t>IPH XS MAX 256GB SILVER</t>
  </si>
  <si>
    <t>30686H</t>
  </si>
  <si>
    <t>IPH XS MAX 256GB GOLD</t>
  </si>
  <si>
    <t>30690H</t>
  </si>
  <si>
    <t>IPH XS 64GB SPACE GRAY</t>
  </si>
  <si>
    <t>30691H</t>
  </si>
  <si>
    <t>IPH XS 64GB SILVER</t>
  </si>
  <si>
    <t>30692H</t>
  </si>
  <si>
    <t>IPH XS 64GB GOLD</t>
  </si>
  <si>
    <t>30693H</t>
  </si>
  <si>
    <t>IPH XS 256GB SPACE GRAY</t>
  </si>
  <si>
    <t>30694H</t>
  </si>
  <si>
    <t>IPH XS 256GB SILVER</t>
  </si>
  <si>
    <t>30695H</t>
  </si>
  <si>
    <t>IPH XS 256GB GOLD</t>
  </si>
  <si>
    <t xml:space="preserve">30898H </t>
  </si>
  <si>
    <t>30899H</t>
  </si>
  <si>
    <t>30900H</t>
  </si>
  <si>
    <t xml:space="preserve">SAMSUNG GALAXY S10 Green </t>
  </si>
  <si>
    <t>SAMSUNG GALAXY S10 Black</t>
  </si>
  <si>
    <t>SAMSUNG GALAXY S10 White</t>
  </si>
  <si>
    <t>30901H</t>
  </si>
  <si>
    <t>30902H</t>
  </si>
  <si>
    <t>30903H</t>
  </si>
  <si>
    <t xml:space="preserve">SAMSUNG GALAXY S10+ Green </t>
  </si>
  <si>
    <t>SAMSUNG GALAXY S10+ Black</t>
  </si>
  <si>
    <t>SAMSUNG GALAXY S10+ White</t>
  </si>
  <si>
    <t>30908H</t>
  </si>
  <si>
    <t xml:space="preserve">MOTOROLA E5 PLAY BLACK </t>
  </si>
  <si>
    <t>30909H</t>
  </si>
  <si>
    <t>MOTOROLA E5 PLAY GOLD</t>
  </si>
  <si>
    <t>31028H</t>
  </si>
  <si>
    <t>Azumi A4</t>
  </si>
  <si>
    <t>31075H</t>
  </si>
  <si>
    <t xml:space="preserve">SAMSUNG GALAXY NOTE 10 BLACK </t>
  </si>
  <si>
    <t>31076H</t>
  </si>
  <si>
    <t>SAMSUNG GALAXY NOTE 10 SILVER</t>
  </si>
  <si>
    <t>31077H</t>
  </si>
  <si>
    <t xml:space="preserve">SAMSUNG GALAXY NOTE 10+ BLACK </t>
  </si>
  <si>
    <t>31078H</t>
  </si>
  <si>
    <t>SAMSUNG GALAXY NOTE 10+ SILVER</t>
  </si>
  <si>
    <t xml:space="preserve">31079H </t>
  </si>
  <si>
    <t>SAMSUNG GALAXY NOTE 10+ WHITE</t>
  </si>
  <si>
    <t xml:space="preserve">31084H </t>
  </si>
  <si>
    <t>SAMSUNG GALAXY NOTE 10+ BLUE</t>
  </si>
  <si>
    <t>31090H</t>
  </si>
  <si>
    <t>LG Q60 BLACK</t>
  </si>
  <si>
    <t>31116H</t>
  </si>
  <si>
    <t>31117H</t>
  </si>
  <si>
    <t>31118H</t>
  </si>
  <si>
    <t>31119H</t>
  </si>
  <si>
    <t>31120H</t>
  </si>
  <si>
    <t xml:space="preserve">31121H </t>
  </si>
  <si>
    <t>IPHONE 11 64GB BLACK</t>
  </si>
  <si>
    <t>IPHONE 11 64GB WHITE</t>
  </si>
  <si>
    <t>IPHONE 11 64GB RED</t>
  </si>
  <si>
    <t>IPHONE 11 64GB YELLOW</t>
  </si>
  <si>
    <t xml:space="preserve"> IPHONE 11 64GB PURPLE</t>
  </si>
  <si>
    <t>IPHONE 11 64GB GREEN</t>
  </si>
  <si>
    <t xml:space="preserve">31122H </t>
  </si>
  <si>
    <t xml:space="preserve">31123H </t>
  </si>
  <si>
    <t>31124H</t>
  </si>
  <si>
    <t>IPHONE 11 128GB BLACK</t>
  </si>
  <si>
    <t>IPHONE 11 128GB WHITE</t>
  </si>
  <si>
    <t>IPHONE 11 128GB RED</t>
  </si>
  <si>
    <t>31125H</t>
  </si>
  <si>
    <t>31126H</t>
  </si>
  <si>
    <t xml:space="preserve">31127H </t>
  </si>
  <si>
    <t>31128H</t>
  </si>
  <si>
    <t>IPHONE 11 PRO 64GB SPACE GRAY</t>
  </si>
  <si>
    <t>IPHONE 11 PRO 64GB SILVER</t>
  </si>
  <si>
    <t>IPHONE 11 PRO 64GB GOLD</t>
  </si>
  <si>
    <t>IPHONE 11 PRO 64GB MIDNIGHT GREEN</t>
  </si>
  <si>
    <t>31129H</t>
  </si>
  <si>
    <t xml:space="preserve">31130H </t>
  </si>
  <si>
    <t>IPHONE 11 PRO 256GB SPACE GRAY</t>
  </si>
  <si>
    <t>IPHONE 11 PRO 256GB GOLD</t>
  </si>
  <si>
    <t>31131H</t>
  </si>
  <si>
    <t xml:space="preserve">31132H </t>
  </si>
  <si>
    <t>31133H</t>
  </si>
  <si>
    <t>31134H</t>
  </si>
  <si>
    <t>IPHONE 11 PRO MAX 64GB SPACE GRAY</t>
  </si>
  <si>
    <t>IPHONE 11 PRO MAX 64GB SILVER</t>
  </si>
  <si>
    <t>IPHONE 11 PRO MAX 64GB GOLD</t>
  </si>
  <si>
    <t>IPHONE 11 PRO MAX 64GB MIDNIGHT GREEN</t>
  </si>
  <si>
    <t>31135H</t>
  </si>
  <si>
    <t xml:space="preserve">31136H </t>
  </si>
  <si>
    <t>IPHONE 11 PRO MAX 256GB SPACE GRAY</t>
  </si>
  <si>
    <t>IPHONE 11 PRO MAX 256GB GOLD</t>
  </si>
  <si>
    <t>31220H</t>
  </si>
  <si>
    <t>LG G8x ThinQ BLACK</t>
  </si>
  <si>
    <t>31205H</t>
  </si>
  <si>
    <t xml:space="preserve"> SAMSUNG GALAXY A20S BLACK</t>
  </si>
  <si>
    <t xml:space="preserve">31206H </t>
  </si>
  <si>
    <t>SAMSUNG GALAXY A20S BLUE</t>
  </si>
  <si>
    <t xml:space="preserve">31207H </t>
  </si>
  <si>
    <t>SAMSUNG GALAXY A20S RED</t>
  </si>
  <si>
    <t>31115H</t>
  </si>
  <si>
    <t>LG K40 BLACK</t>
  </si>
  <si>
    <t>31312H</t>
  </si>
  <si>
    <t>31313H</t>
  </si>
  <si>
    <t>31314H</t>
  </si>
  <si>
    <t>31315H</t>
  </si>
  <si>
    <t>31411H</t>
  </si>
  <si>
    <t>IPHONE XR 256GB RED</t>
  </si>
  <si>
    <t>IPHONE XR 256GB WHITE</t>
  </si>
  <si>
    <t>IPHONE XR 256GB CORAL</t>
  </si>
  <si>
    <t>IPHONE XR 256GB YELLOW</t>
  </si>
  <si>
    <t>IPHONE XR 256GB BLUE</t>
  </si>
  <si>
    <t>31305H</t>
  </si>
  <si>
    <t>31306H</t>
  </si>
  <si>
    <t>31307H</t>
  </si>
  <si>
    <t>SAMSUNG GALAXY S20+ BLUE</t>
  </si>
  <si>
    <t>SAMSUNG GALAXY S20+ GRAY</t>
  </si>
  <si>
    <t>SAMSUNG GALAXY S20+ BLACK</t>
  </si>
  <si>
    <t xml:space="preserve">31303H </t>
  </si>
  <si>
    <t>31304H</t>
  </si>
  <si>
    <t>SAMSUNG GALAXY Z FLIP BLACK</t>
  </si>
  <si>
    <t>SAMSUNG GALAXY Z FLIP PURPLE</t>
  </si>
  <si>
    <t>31254H</t>
  </si>
  <si>
    <t>31255H</t>
  </si>
  <si>
    <t xml:space="preserve">31256H </t>
  </si>
  <si>
    <t>SAMSUNG GALAXY A51 BLUE</t>
  </si>
  <si>
    <t>SAMSUNG GALAXY A51 BLACK</t>
  </si>
  <si>
    <t>SAMSUNG GALAXY A51 WHITE</t>
  </si>
  <si>
    <t xml:space="preserve">31270H </t>
  </si>
  <si>
    <t xml:space="preserve">31271H </t>
  </si>
  <si>
    <t xml:space="preserve">31272H </t>
  </si>
  <si>
    <t>SAMSUNG GALAXY NOTE 10 LITE RED</t>
  </si>
  <si>
    <t>SAMSUNG GALAXY NOTE 10 LITE BLACK</t>
  </si>
  <si>
    <t>SAMSUNG GALAXY NOTE 10 LITE SILVER</t>
  </si>
  <si>
    <t xml:space="preserve">31216H </t>
  </si>
  <si>
    <t>LG K20 BLACK</t>
  </si>
  <si>
    <t>31310H</t>
  </si>
  <si>
    <t>31311H</t>
  </si>
  <si>
    <t>31325H</t>
  </si>
  <si>
    <t>SAMSUNG GALAXY A71 128GB A715F BLUE</t>
  </si>
  <si>
    <t>SAMSUNG GALAXY A71 128GB A715F SILVER</t>
  </si>
  <si>
    <t>SAMSUNG GALAXY A71 128GB A715F BLACK</t>
  </si>
  <si>
    <t>31487H</t>
  </si>
  <si>
    <t>iPHONE SE 64GB BLACK</t>
  </si>
  <si>
    <t>31488H</t>
  </si>
  <si>
    <t>iPHONE SE 64GB WHITE</t>
  </si>
  <si>
    <t xml:space="preserve">31489H </t>
  </si>
  <si>
    <t>iPHONE SE 64GB RED</t>
  </si>
  <si>
    <t>31492H</t>
  </si>
  <si>
    <t>iPHONE SE 128GB RED</t>
  </si>
  <si>
    <t>31003H</t>
  </si>
  <si>
    <t>Router Dlink DWR-920V</t>
  </si>
  <si>
    <t>iPads</t>
  </si>
  <si>
    <t>29 de abril al 26 de mayo de 2020</t>
  </si>
  <si>
    <t>FIUP12</t>
  </si>
  <si>
    <t>FIUP24</t>
  </si>
  <si>
    <t>31463H</t>
  </si>
  <si>
    <t>SAMSUNG GALAXY S20 ULTRA 5G GRAY</t>
  </si>
  <si>
    <t>SAMSUNG GALAXY S20 ULTRA 5G BLACK</t>
  </si>
  <si>
    <t>31464H</t>
  </si>
  <si>
    <t xml:space="preserve">31458H </t>
  </si>
  <si>
    <t>MOTOROLA G POWER VULCAN/BLACK</t>
  </si>
  <si>
    <t xml:space="preserve">31554H </t>
  </si>
  <si>
    <t>SAMSUNG GALAXY NOTE 20 BRONCE</t>
  </si>
  <si>
    <t>31555H</t>
  </si>
  <si>
    <t>SAMSUNG GALAXY NOTE 20 GREEN</t>
  </si>
  <si>
    <t xml:space="preserve">31556H </t>
  </si>
  <si>
    <t>SAMSUNG GALAXY NOTE 20 GRAY</t>
  </si>
  <si>
    <t>31557H</t>
  </si>
  <si>
    <t>31558H</t>
  </si>
  <si>
    <t>31559H</t>
  </si>
  <si>
    <t>SAMSUNG GALAXY NOTE 20 ULTRA BRONCE</t>
  </si>
  <si>
    <t>SAMSUNG GALAXY NOTE 20 ULTRA WHITE</t>
  </si>
  <si>
    <t>SAMSUNG GALAXY NOTE 20 ULTRA BLACK</t>
  </si>
  <si>
    <t xml:space="preserve">31539H </t>
  </si>
  <si>
    <t xml:space="preserve">LG K51 BLACK </t>
  </si>
  <si>
    <t>31553H</t>
  </si>
  <si>
    <t>MOTOROLA MOTO E AZUL</t>
  </si>
  <si>
    <t xml:space="preserve">31560H </t>
  </si>
  <si>
    <t>LG STYLO 6 TITAN</t>
  </si>
  <si>
    <t xml:space="preserve">31561H </t>
  </si>
  <si>
    <t xml:space="preserve">LG STYLO 6 BLANCO </t>
  </si>
  <si>
    <t>31619H</t>
  </si>
  <si>
    <t>SAMSUNG GALAXY S20 FE BLUE</t>
  </si>
  <si>
    <t>31620H</t>
  </si>
  <si>
    <t>SAMSUNG GALAXY S20 FE RED</t>
  </si>
  <si>
    <t>31621H</t>
  </si>
  <si>
    <t>SAMSUNG GALAXY S20 FE LAVENDER</t>
  </si>
  <si>
    <t>31622H</t>
  </si>
  <si>
    <t>SAMSUNG GALAXY S20 FE GREEN</t>
  </si>
  <si>
    <t>31589H</t>
  </si>
  <si>
    <t>31590H</t>
  </si>
  <si>
    <t>31591H</t>
  </si>
  <si>
    <t>31595H</t>
  </si>
  <si>
    <t>SAMSUNG GALAXY A21S BLACK</t>
  </si>
  <si>
    <t>SAMSUNG GALAXY A21S BLUE</t>
  </si>
  <si>
    <t xml:space="preserve">SAMSUNG GALAXY A21S RED </t>
  </si>
  <si>
    <t>SAMSUNG GALAXY A21S SILVER</t>
  </si>
  <si>
    <t>31592H</t>
  </si>
  <si>
    <t>31593H</t>
  </si>
  <si>
    <t>SAMSUNG GALAXY Z FOLD 2 5G BLACK</t>
  </si>
  <si>
    <t>SAMSUNG GALAXY Z FOLD 2 5G BRONCE</t>
  </si>
  <si>
    <t>31680H</t>
  </si>
  <si>
    <t>IPH 12 MINI 64GB BLACK</t>
  </si>
  <si>
    <t>31681H</t>
  </si>
  <si>
    <t>IPH 12 MINI 64GB WHITE</t>
  </si>
  <si>
    <t>31682H</t>
  </si>
  <si>
    <t>IPH 12 MINI 64GB RED</t>
  </si>
  <si>
    <t>31683H</t>
  </si>
  <si>
    <t>IPH 12 MINI 64GB BLUE</t>
  </si>
  <si>
    <t>31684H</t>
  </si>
  <si>
    <t>IPH 12 MINI 64GB GREEN</t>
  </si>
  <si>
    <t>31685H</t>
  </si>
  <si>
    <t>IPH 12 MINI 128GB BLACK</t>
  </si>
  <si>
    <t>31686H</t>
  </si>
  <si>
    <t>IPH 12 MINI 128GB WHITE</t>
  </si>
  <si>
    <t>31687H</t>
  </si>
  <si>
    <t>IPH 12 MINI 128GB RED</t>
  </si>
  <si>
    <t>31688H</t>
  </si>
  <si>
    <t>IPH 12 MINI 128GB BLUE</t>
  </si>
  <si>
    <t>31689H</t>
  </si>
  <si>
    <t>IPH 12 MINI 128GB GREEN</t>
  </si>
  <si>
    <t>31690H</t>
  </si>
  <si>
    <t>IPH 12 MINI 256GB RED</t>
  </si>
  <si>
    <t>31691H</t>
  </si>
  <si>
    <t>IPH 12 MINI 256GB BUE</t>
  </si>
  <si>
    <t>31692H</t>
  </si>
  <si>
    <t>IPH 12 PRO MAX 128GB GRAPHITE</t>
  </si>
  <si>
    <t>31693H</t>
  </si>
  <si>
    <t>IPH 12 PRO MAX 128GB SILVER</t>
  </si>
  <si>
    <t>31694H</t>
  </si>
  <si>
    <t>IPH 12 PRO MAX 128GB GOLD</t>
  </si>
  <si>
    <t>31695H</t>
  </si>
  <si>
    <t>IPH 12 PRO MAX 128GB BLUE</t>
  </si>
  <si>
    <t>31696H</t>
  </si>
  <si>
    <t>IPH 12 PRO MAX 256GB GRAPHITE</t>
  </si>
  <si>
    <t>31697H</t>
  </si>
  <si>
    <t>IPH 12 PRO MAX 256GB SILVER</t>
  </si>
  <si>
    <t>31698H</t>
  </si>
  <si>
    <t>IPH 12 PRO MAX 256GB GOLD</t>
  </si>
  <si>
    <t>31699H</t>
  </si>
  <si>
    <t>IPH 12 PRO MAX 256GB BLUE</t>
  </si>
  <si>
    <t>31700H</t>
  </si>
  <si>
    <t>IPH 12 PRO MAX 512GB GRAPHITE</t>
  </si>
  <si>
    <t>31701H</t>
  </si>
  <si>
    <t>IPH 12 PRO MAX 512GB SILVER</t>
  </si>
  <si>
    <t>31702H</t>
  </si>
  <si>
    <t>IPH 12 PRO MAX 512GB GOLD</t>
  </si>
  <si>
    <t>31703H</t>
  </si>
  <si>
    <t>IPH 12 PRO MAX 512GB BLUE</t>
  </si>
  <si>
    <t>IPH 12 64GB BLACK</t>
  </si>
  <si>
    <t>IPH 12 64GB WHITE</t>
  </si>
  <si>
    <t>IPH 12 64GB RED</t>
  </si>
  <si>
    <t>IPH 12 64GB BLUE</t>
  </si>
  <si>
    <t>IPH 12 64GB GREEN</t>
  </si>
  <si>
    <t>IPH 12 128GB BLACK</t>
  </si>
  <si>
    <t>IPH 12 128GB WHITE</t>
  </si>
  <si>
    <t>IPH 12 128GB RED</t>
  </si>
  <si>
    <t>IPH 12 128GB BLUE</t>
  </si>
  <si>
    <t>IPH 12 128GB GREEN</t>
  </si>
  <si>
    <t>IPH 12 256GB BLACK</t>
  </si>
  <si>
    <t>IPH 12 256GB WHITE</t>
  </si>
  <si>
    <t>IPH 12 256GB RED</t>
  </si>
  <si>
    <t>IPH 12 256GB BLUE</t>
  </si>
  <si>
    <t>IPH 12 256GB GREEN</t>
  </si>
  <si>
    <t>IPH 12 PRO 128GB GRAPHITE</t>
  </si>
  <si>
    <t>IPH 12 PRO 128GB SILVER</t>
  </si>
  <si>
    <t>IPH 12 PRO 128GB GOLD</t>
  </si>
  <si>
    <t>IPH 12 PRO 128GB PACIFIC BLUE</t>
  </si>
  <si>
    <t>IPH 12 PRO 256GB GRAPHITE</t>
  </si>
  <si>
    <t>IPH 12 PRO 256GB SILVER</t>
  </si>
  <si>
    <t>IPH 12 PRO 256GB GOLD</t>
  </si>
  <si>
    <t>IPH 12 PRO 256GB PACIFIC BLUE</t>
  </si>
  <si>
    <t>IPH 12 PRO 512GB GRAPHITE</t>
  </si>
  <si>
    <t>IPH 12 PRO 512GB SILVER</t>
  </si>
  <si>
    <t>IPH 12 PRO 512GB GOLD</t>
  </si>
  <si>
    <t>IPH 12 PRO 512GB PACIFIC BLUE</t>
  </si>
  <si>
    <t>31643H</t>
  </si>
  <si>
    <t>31644H</t>
  </si>
  <si>
    <t>31645H</t>
  </si>
  <si>
    <t>31646H</t>
  </si>
  <si>
    <t>31647H</t>
  </si>
  <si>
    <t>31648H</t>
  </si>
  <si>
    <t>31649H</t>
  </si>
  <si>
    <t>31650H</t>
  </si>
  <si>
    <t>31651H</t>
  </si>
  <si>
    <t>31652H</t>
  </si>
  <si>
    <t>31653H</t>
  </si>
  <si>
    <t>31654H</t>
  </si>
  <si>
    <t>31655H</t>
  </si>
  <si>
    <t>31656H</t>
  </si>
  <si>
    <t>31657H</t>
  </si>
  <si>
    <t>31658H</t>
  </si>
  <si>
    <t>31659H</t>
  </si>
  <si>
    <t>31660H</t>
  </si>
  <si>
    <t>31661H</t>
  </si>
  <si>
    <t>31662H</t>
  </si>
  <si>
    <t>31663H</t>
  </si>
  <si>
    <t>31664H</t>
  </si>
  <si>
    <t>31665H</t>
  </si>
  <si>
    <t>31666H</t>
  </si>
  <si>
    <t>31667H</t>
  </si>
  <si>
    <t>31668H</t>
  </si>
  <si>
    <t>31669H</t>
  </si>
  <si>
    <t>31740H</t>
  </si>
  <si>
    <t>IPH SE 64GB BLACK (NAC)</t>
  </si>
  <si>
    <t>31741H</t>
  </si>
  <si>
    <t>IPH SE 64GB WHITE (NAC)</t>
  </si>
  <si>
    <t>31742H</t>
  </si>
  <si>
    <t>IPH SE 64GB RED (NAC)</t>
  </si>
  <si>
    <t>31799H</t>
  </si>
  <si>
    <t>IPH XR 64GB BLACK (NAC)</t>
  </si>
  <si>
    <t>31800H</t>
  </si>
  <si>
    <t>IPH XR 64GB WHITE (NAC)</t>
  </si>
  <si>
    <t>31801H</t>
  </si>
  <si>
    <t>IPH XR 64GB RED (NAC)</t>
  </si>
  <si>
    <t>31802H</t>
  </si>
  <si>
    <t>IPH XR 64GB CORAL (NAC)</t>
  </si>
  <si>
    <t>31803H</t>
  </si>
  <si>
    <t>IPH XR 64GB BLUE (NAC)</t>
  </si>
  <si>
    <t>31780H</t>
  </si>
  <si>
    <t>IPH 11 64GB BLACK (NAC)</t>
  </si>
  <si>
    <t>31781H</t>
  </si>
  <si>
    <t>IPH 11 64GB WHITE (NAC)</t>
  </si>
  <si>
    <t>31782H</t>
  </si>
  <si>
    <t>IPH 11 64GB RED (NAC)</t>
  </si>
  <si>
    <t>31783H</t>
  </si>
  <si>
    <t>IPH 11 64GB PURPLE (NAC)</t>
  </si>
  <si>
    <t>31797H</t>
  </si>
  <si>
    <t>IPH 11 64GB YELLOW (NAC)</t>
  </si>
  <si>
    <t>31798H</t>
  </si>
  <si>
    <t>IPH 11 64GB GREEN (NAC)</t>
  </si>
  <si>
    <t>31804H</t>
  </si>
  <si>
    <t>SAMSUNG GALAXY S21 5G GRAY</t>
  </si>
  <si>
    <t>31805H</t>
  </si>
  <si>
    <t>SAMSUNG GALAXY S21 5G WHITE</t>
  </si>
  <si>
    <t>31806H</t>
  </si>
  <si>
    <t>SAMSUNG GALAXY S21 5G VIOLET</t>
  </si>
  <si>
    <t>31807H</t>
  </si>
  <si>
    <t>SAMSUNG GALAXY S2I 5G PINK</t>
  </si>
  <si>
    <t>31808H</t>
  </si>
  <si>
    <t>SAMSUNG GALAXY S21+ 5G BLACK</t>
  </si>
  <si>
    <t>31809H</t>
  </si>
  <si>
    <t>SAMSUNG GALAXY S21+ 5G SILVER</t>
  </si>
  <si>
    <t>31810H</t>
  </si>
  <si>
    <t>SAMSUNG GALAXY S2I+ 5G VIOLET</t>
  </si>
  <si>
    <t>31815H</t>
  </si>
  <si>
    <t>SAMSUNG GALAXY S21 ULTRA 5G BLACK</t>
  </si>
  <si>
    <t>31816H</t>
  </si>
  <si>
    <t>SAMSUNG GALAXY S21 ULTRA 5G SILVER</t>
  </si>
  <si>
    <t>29 de abril al 26 de mayo de 2021</t>
  </si>
  <si>
    <t>FIUP36</t>
  </si>
  <si>
    <t xml:space="preserve">NOTA: Los equipos subrayados en azul salieron de portafolio y no vienen más. </t>
  </si>
  <si>
    <t>FIUP30</t>
  </si>
  <si>
    <t>FIUP12/FIUP24/FIUP30/FIUP36</t>
  </si>
  <si>
    <t>Mensualidad 20 meses</t>
  </si>
  <si>
    <t>31642H</t>
  </si>
  <si>
    <t>Franklin R910 MiFi</t>
  </si>
  <si>
    <t>32328H</t>
  </si>
  <si>
    <t>Franklin RG1000 5G</t>
  </si>
  <si>
    <t>32788H</t>
  </si>
  <si>
    <t>FRANKLIN RT 410 MIFI</t>
  </si>
  <si>
    <t>Mensualidad 3 meses</t>
  </si>
  <si>
    <t>Mensualidad 6 meses</t>
  </si>
  <si>
    <t xml:space="preserve">FINA03 </t>
  </si>
  <si>
    <t>FINA06</t>
  </si>
  <si>
    <t>FINA12</t>
  </si>
  <si>
    <t>FINA24</t>
  </si>
  <si>
    <t>30937H</t>
  </si>
  <si>
    <t>32322H</t>
  </si>
  <si>
    <t>32649H</t>
  </si>
  <si>
    <t>32887H</t>
  </si>
  <si>
    <t>32891H</t>
  </si>
  <si>
    <t>32916H</t>
  </si>
  <si>
    <t>Zipkord Travel Adapter Wall Plug</t>
  </si>
  <si>
    <t>32917H</t>
  </si>
  <si>
    <t>ZipKord Combo PD Wall Charger with Apple USD-C and Micro USB Tips</t>
  </si>
  <si>
    <t>32918H</t>
  </si>
  <si>
    <t xml:space="preserve">Zipkord Dual USB Wall Adapter- PD Quick </t>
  </si>
  <si>
    <t>SUBREG</t>
  </si>
  <si>
    <t>30671H</t>
  </si>
  <si>
    <t>31483H</t>
  </si>
  <si>
    <t>31678H</t>
  </si>
  <si>
    <t>31722H</t>
  </si>
  <si>
    <t>31726H</t>
  </si>
  <si>
    <t>31946H</t>
  </si>
  <si>
    <t>Apple AirTag 1 Pack</t>
  </si>
  <si>
    <t>31947H</t>
  </si>
  <si>
    <t>Apple AirTag 4 Pack</t>
  </si>
  <si>
    <t>31948H</t>
  </si>
  <si>
    <t>31949H</t>
  </si>
  <si>
    <t>33116H</t>
  </si>
  <si>
    <t>33097H</t>
  </si>
  <si>
    <t>33148H</t>
  </si>
  <si>
    <t>33149H</t>
  </si>
  <si>
    <t>33192H</t>
  </si>
  <si>
    <t>33329H</t>
  </si>
  <si>
    <t>33203H</t>
  </si>
  <si>
    <t>33204H</t>
  </si>
  <si>
    <t>33205H</t>
  </si>
  <si>
    <t>32704H</t>
  </si>
  <si>
    <t>32503H</t>
  </si>
  <si>
    <t>32552H</t>
  </si>
  <si>
    <t>32951H</t>
  </si>
  <si>
    <t>33385H</t>
  </si>
  <si>
    <t>GALAXY TAB S9 FE 128GB | Graphite</t>
  </si>
  <si>
    <t>33390H</t>
  </si>
  <si>
    <t xml:space="preserve">iPAD PRO 11' WIFI+CELL 256GB Silver </t>
  </si>
  <si>
    <t>33405H</t>
  </si>
  <si>
    <t>iPAD PRO 11' WIFI+CELL 256GB Space Black</t>
  </si>
  <si>
    <t>33391H</t>
  </si>
  <si>
    <t xml:space="preserve">iPAD PRO 13' WIFI+CELL 256GB Silver </t>
  </si>
  <si>
    <t>33406H</t>
  </si>
  <si>
    <t>iPAD PRO 13' WIFI+CELL 256GB Space Black</t>
  </si>
  <si>
    <t>JBL Vibe Beam  | Black</t>
  </si>
  <si>
    <t>JBL Vibe Beam  | White</t>
  </si>
  <si>
    <t>JBL Vive Buds | Black</t>
  </si>
  <si>
    <t>33335H</t>
  </si>
  <si>
    <t>33336H</t>
  </si>
  <si>
    <t>33337H</t>
  </si>
  <si>
    <t>33351H</t>
  </si>
  <si>
    <t>33352H</t>
  </si>
  <si>
    <t>33350H</t>
  </si>
  <si>
    <t>33357H</t>
  </si>
  <si>
    <t>33356H</t>
  </si>
  <si>
    <t>33353H</t>
  </si>
  <si>
    <t>33371H</t>
  </si>
  <si>
    <t>67W USB- C Power Adapter</t>
  </si>
  <si>
    <t>33402H</t>
  </si>
  <si>
    <t>33403H</t>
  </si>
  <si>
    <t>32706H</t>
  </si>
  <si>
    <t>33467H</t>
  </si>
  <si>
    <t>33468H</t>
  </si>
  <si>
    <t>33469H</t>
  </si>
  <si>
    <t>33470H</t>
  </si>
  <si>
    <t>33471H</t>
  </si>
  <si>
    <t>IPH 16 128GB BLACK</t>
  </si>
  <si>
    <t>IPH 16 128GB PINK</t>
  </si>
  <si>
    <t>IPH 16 128GB WHITE</t>
  </si>
  <si>
    <t>IPH 16 128GB ULTRAMARINE</t>
  </si>
  <si>
    <t>IPH 16 128GB TEAL</t>
  </si>
  <si>
    <t>AirPods 4</t>
  </si>
  <si>
    <t>33486H</t>
  </si>
  <si>
    <t>33487H</t>
  </si>
  <si>
    <t>33463H</t>
  </si>
  <si>
    <t>AirPods Max - Starlight</t>
  </si>
  <si>
    <t>AirPods Max - Midnight</t>
  </si>
  <si>
    <t>33488H</t>
  </si>
  <si>
    <t>33489H</t>
  </si>
  <si>
    <t>32744H</t>
  </si>
  <si>
    <t>Apple Pencil Pro | MX2D3AM/A</t>
  </si>
  <si>
    <t>33389H</t>
  </si>
  <si>
    <t>Magic Keyboard for iPad Pro 11‑inch (M4) |MWR23LL/A</t>
  </si>
  <si>
    <t>Magic Keyboard for iPad Pro 13‑inch (M4) |MWR53LL/A</t>
  </si>
  <si>
    <t>Magic Keyboard for iPad Air 13-inch (M2) |MJQK3LL/A</t>
  </si>
  <si>
    <t>Magic Keyboard for iPad Air 11-inch (M2) | MXQT2LL/A</t>
  </si>
  <si>
    <t>33387H</t>
  </si>
  <si>
    <t>33388H</t>
  </si>
  <si>
    <t>Apple Watch Series 10 GPS 42mm Silver Aluminum Case with Denim Sport Band - M/L | MWWC3LW/A</t>
  </si>
  <si>
    <t>Apple Watch Series 10 GPS 42mm Rose Gold Aluminum Case with Light Blush Sport Band - M/L | MWWJ3LW/A</t>
  </si>
  <si>
    <t>33490H</t>
  </si>
  <si>
    <t>33492H</t>
  </si>
  <si>
    <t>33496H</t>
  </si>
  <si>
    <t>iPhone 16 Clear Case with MagSafe</t>
  </si>
  <si>
    <t xml:space="preserve">iPhone 16 Silicone Case with MagSafe | Stone Gray </t>
  </si>
  <si>
    <t>iPhone 16 Silicone Case with MagSafe |  Fuchsia</t>
  </si>
  <si>
    <t>iPhone 16 Silicone Case with MagSafe |  Ultramarine</t>
  </si>
  <si>
    <t>iPhone 16 Plus Clear Case with MagSafe</t>
  </si>
  <si>
    <t xml:space="preserve">iPhone 16 Plus Silicone Case with MagSafe | Stone Gray </t>
  </si>
  <si>
    <t>iPhone 16 Pro Clear Case with MagSafe</t>
  </si>
  <si>
    <t xml:space="preserve">iPhone 16 Pro Silicone Case with MagSafe | Stone Gray </t>
  </si>
  <si>
    <t>iPhone 16 Pro Max Clear Case with MagSafe</t>
  </si>
  <si>
    <t xml:space="preserve">iPhone 16 Pro Max Silicone Case with MagSafe | Stone Gray </t>
  </si>
  <si>
    <t>iPhone 16 Pro Max Silicone Case with MagSafe | Fuchsia</t>
  </si>
  <si>
    <t>iPhone 16 Pro Max Silicone Case with MagSafe | Ultramarine</t>
  </si>
  <si>
    <t>33509H</t>
  </si>
  <si>
    <t>33510H</t>
  </si>
  <si>
    <t>33511H</t>
  </si>
  <si>
    <t>33512H</t>
  </si>
  <si>
    <t>33513H</t>
  </si>
  <si>
    <t>33514H</t>
  </si>
  <si>
    <t>33515H</t>
  </si>
  <si>
    <t>33516H</t>
  </si>
  <si>
    <t>33517H</t>
  </si>
  <si>
    <t>33518H</t>
  </si>
  <si>
    <t>33519H</t>
  </si>
  <si>
    <t>33520H</t>
  </si>
  <si>
    <t>33420H</t>
  </si>
  <si>
    <t>33419H</t>
  </si>
  <si>
    <t>33413H</t>
  </si>
  <si>
    <t>33414H</t>
  </si>
  <si>
    <t>33407H</t>
  </si>
  <si>
    <t>33408H</t>
  </si>
  <si>
    <t>33409H</t>
  </si>
  <si>
    <t>33410H</t>
  </si>
  <si>
    <t>33411H</t>
  </si>
  <si>
    <t>33438H</t>
  </si>
  <si>
    <t>33439H</t>
  </si>
  <si>
    <t>33440H</t>
  </si>
  <si>
    <t>33441H</t>
  </si>
  <si>
    <t>33442H</t>
  </si>
  <si>
    <t>33443H</t>
  </si>
  <si>
    <t>33444H</t>
  </si>
  <si>
    <t>33445H</t>
  </si>
  <si>
    <t>33447H</t>
  </si>
  <si>
    <t xml:space="preserve">NOTA: Los equipos marcados en azul salieron de portafolio y no vienen más. </t>
  </si>
  <si>
    <r>
      <t xml:space="preserve">CLE09A
</t>
    </r>
    <r>
      <rPr>
        <b/>
        <i/>
        <sz val="12"/>
        <color indexed="60"/>
        <rFont val="Calibri"/>
        <family val="2"/>
        <scheme val="minor"/>
      </rPr>
      <t>CLE09R</t>
    </r>
  </si>
  <si>
    <r>
      <t xml:space="preserve">CLE14A
</t>
    </r>
    <r>
      <rPr>
        <b/>
        <i/>
        <sz val="12"/>
        <color indexed="16"/>
        <rFont val="Calibri"/>
        <family val="2"/>
        <scheme val="minor"/>
      </rPr>
      <t>CLE14R</t>
    </r>
  </si>
  <si>
    <r>
      <t xml:space="preserve">CLE19A
</t>
    </r>
    <r>
      <rPr>
        <b/>
        <i/>
        <sz val="12"/>
        <color indexed="60"/>
        <rFont val="Calibri"/>
        <family val="2"/>
        <scheme val="minor"/>
      </rPr>
      <t>CLE19R</t>
    </r>
  </si>
  <si>
    <r>
      <t xml:space="preserve">CLE29A
</t>
    </r>
    <r>
      <rPr>
        <b/>
        <i/>
        <sz val="12"/>
        <color indexed="60"/>
        <rFont val="Calibri"/>
        <family val="2"/>
        <scheme val="minor"/>
      </rPr>
      <t>CLE29R</t>
    </r>
  </si>
  <si>
    <r>
      <t xml:space="preserve">CLE39A
</t>
    </r>
    <r>
      <rPr>
        <b/>
        <i/>
        <sz val="12"/>
        <color indexed="60"/>
        <rFont val="Calibri"/>
        <family val="2"/>
        <scheme val="minor"/>
      </rPr>
      <t>CLE39R</t>
    </r>
  </si>
  <si>
    <r>
      <t xml:space="preserve">CLE49A
</t>
    </r>
    <r>
      <rPr>
        <b/>
        <i/>
        <sz val="12"/>
        <color indexed="60"/>
        <rFont val="Calibri"/>
        <family val="2"/>
        <scheme val="minor"/>
      </rPr>
      <t>CLE49R</t>
    </r>
  </si>
  <si>
    <r>
      <t xml:space="preserve">CLE59A
</t>
    </r>
    <r>
      <rPr>
        <b/>
        <i/>
        <sz val="12"/>
        <color indexed="60"/>
        <rFont val="Calibri"/>
        <family val="2"/>
        <scheme val="minor"/>
      </rPr>
      <t>CLE59R</t>
    </r>
  </si>
  <si>
    <r>
      <t xml:space="preserve">CLE69A
</t>
    </r>
    <r>
      <rPr>
        <b/>
        <i/>
        <sz val="12"/>
        <color indexed="60"/>
        <rFont val="Calibri"/>
        <family val="2"/>
        <scheme val="minor"/>
      </rPr>
      <t>CLE69R</t>
    </r>
  </si>
  <si>
    <r>
      <t xml:space="preserve">CLE79A
</t>
    </r>
    <r>
      <rPr>
        <b/>
        <i/>
        <sz val="12"/>
        <color indexed="60"/>
        <rFont val="Calibri"/>
        <family val="2"/>
        <scheme val="minor"/>
      </rPr>
      <t>CLE79R</t>
    </r>
  </si>
  <si>
    <r>
      <t xml:space="preserve">CLE89A
</t>
    </r>
    <r>
      <rPr>
        <b/>
        <i/>
        <sz val="12"/>
        <color indexed="60"/>
        <rFont val="Calibri"/>
        <family val="2"/>
        <scheme val="minor"/>
      </rPr>
      <t>CLE89R</t>
    </r>
  </si>
  <si>
    <r>
      <t xml:space="preserve">CLE99A
</t>
    </r>
    <r>
      <rPr>
        <b/>
        <i/>
        <sz val="12"/>
        <color indexed="60"/>
        <rFont val="Calibri"/>
        <family val="2"/>
        <scheme val="minor"/>
      </rPr>
      <t>CLE99R</t>
    </r>
  </si>
  <si>
    <r>
      <t xml:space="preserve">DATA MODEMS 3G/4G- </t>
    </r>
    <r>
      <rPr>
        <b/>
        <sz val="12"/>
        <color rgb="FFFF0000"/>
        <rFont val="Calibri"/>
        <family val="2"/>
        <scheme val="minor"/>
      </rPr>
      <t>Banda Ancha y Claro Hogar</t>
    </r>
  </si>
  <si>
    <t>33561H</t>
  </si>
  <si>
    <t xml:space="preserve">MOTO EDGE 2024 256GB XT2405-1 BLACK </t>
  </si>
  <si>
    <t>33417H</t>
  </si>
  <si>
    <t>33571H</t>
  </si>
  <si>
    <t>33583H</t>
  </si>
  <si>
    <t>33610H</t>
  </si>
  <si>
    <t xml:space="preserve">Samsung Galaxy Buds 3 | Silver </t>
  </si>
  <si>
    <t>Samsung Galaxy Buds 3 | White</t>
  </si>
  <si>
    <t xml:space="preserve">Samsung Galaxy Watch 7 44MM | Silver </t>
  </si>
  <si>
    <t xml:space="preserve">Samsung Galaxy Watch 7 44MM | Green </t>
  </si>
  <si>
    <t>33584H</t>
  </si>
  <si>
    <t>IPAD 10.9 GPS+CEL 64GB  | Silver (NEW)</t>
  </si>
  <si>
    <t>SAMSUNG GALAXY S25 128GB S931U  ICY BLUE</t>
  </si>
  <si>
    <t>SAMSUNG GALAXY S25 128GB S931U MINT</t>
  </si>
  <si>
    <t>SAMSUNG GALAXY S25 128GB S931U NAVY</t>
  </si>
  <si>
    <t>SAMSUNG GALAXY S25 128GB S931U SILVER SHADOW</t>
  </si>
  <si>
    <t>33615H</t>
  </si>
  <si>
    <t>33616H</t>
  </si>
  <si>
    <t>33617H</t>
  </si>
  <si>
    <t>33618H</t>
  </si>
  <si>
    <t>SAMSUNG GALAXY S25 PLUS 256GB S936U ICY BLUE</t>
  </si>
  <si>
    <t>SAMSUNG GALAXY S25 PLUS 256GB S936U MINT</t>
  </si>
  <si>
    <t>SAMSUNG GALAXY S25 PLUS 256GB S936U NAVY</t>
  </si>
  <si>
    <t>SAMSUNG GALAXY S25 PLUS 256GB S936U SILVER SHADOW</t>
  </si>
  <si>
    <t>33619H</t>
  </si>
  <si>
    <t>33620H</t>
  </si>
  <si>
    <t>33621H</t>
  </si>
  <si>
    <t>33622H</t>
  </si>
  <si>
    <t>SAMSUNG GALAXY S25 ULTRA 256GB S938U TITANIUM BLACK</t>
  </si>
  <si>
    <t>SAMSUNG GALAXY S25 ULTRA 256GB S938U TITANIUM GRAY</t>
  </si>
  <si>
    <t>SAMSUNG GALAXY S25 ULTRA 256GB S938U TITANIUM SILVER</t>
  </si>
  <si>
    <t>SAMSUNG GALAXY S25 ULTRA 256GB S938U TITANIUM WHITE</t>
  </si>
  <si>
    <t>33623H</t>
  </si>
  <si>
    <t>33624H</t>
  </si>
  <si>
    <t>33625H</t>
  </si>
  <si>
    <t>33626H</t>
  </si>
  <si>
    <t xml:space="preserve">MOTOROLA RAZR 2024 XT2453-3 256GB  ARABESQUE - NARANJA </t>
  </si>
  <si>
    <t xml:space="preserve">MOTOROLA RAZR 2024 XT2453-3 256GB STILL WOOD - GRIS CARBON </t>
  </si>
  <si>
    <t>33613H</t>
  </si>
  <si>
    <t>33614H</t>
  </si>
  <si>
    <t>IPH 16e 128GB BLACK</t>
  </si>
  <si>
    <t>IPH 16e 128GB WHITE</t>
  </si>
  <si>
    <t>33641H</t>
  </si>
  <si>
    <t>33642H</t>
  </si>
  <si>
    <r>
      <t>Price code</t>
    </r>
    <r>
      <rPr>
        <b/>
        <sz val="11"/>
        <color rgb="FFFF0000"/>
        <rFont val="Aptos Narrow"/>
        <family val="2"/>
      </rPr>
      <t>→</t>
    </r>
  </si>
  <si>
    <t>33607H</t>
  </si>
  <si>
    <t>33608H</t>
  </si>
  <si>
    <t>33609H</t>
  </si>
  <si>
    <t>Beats Solo Buds | Artic Blue</t>
  </si>
  <si>
    <t>Beats Solo Buds | Storm Gray</t>
  </si>
  <si>
    <t>Beats Solo Buds | Transparent Red</t>
  </si>
  <si>
    <t>iPhone 16e Silicone Case | Winter Blue</t>
  </si>
  <si>
    <t>iPhone 16e Silicone Case | Fuschia</t>
  </si>
  <si>
    <t>iPhone 16e Silicone Case | Lake Green</t>
  </si>
  <si>
    <t>33645H</t>
  </si>
  <si>
    <t>33646H</t>
  </si>
  <si>
    <t>33647H</t>
  </si>
  <si>
    <t>Samsung S25 Clear Magnet Case (S931Y)</t>
  </si>
  <si>
    <t>Samsung S25+ Clear Magnet Case (S936Y)</t>
  </si>
  <si>
    <t>Samsung S25 Ultra Clear Magnet Case (S938S)</t>
  </si>
  <si>
    <t xml:space="preserve">Samsung S25 Ultra React Magnet Case | Black Cristal  (BLK S938S) </t>
  </si>
  <si>
    <t>33627H</t>
  </si>
  <si>
    <t>33628H</t>
  </si>
  <si>
    <t>33629H</t>
  </si>
  <si>
    <t>33630H</t>
  </si>
  <si>
    <t xml:space="preserve">NOTA: Los equipos marcados en azul salieron de portaFolio y no vienen más. </t>
  </si>
  <si>
    <t>MagSafe Charger MHXH3AM/A</t>
  </si>
  <si>
    <t>TECLADO Tab A 10.1Black</t>
  </si>
  <si>
    <t>Apple Pencil 1 Gen.</t>
  </si>
  <si>
    <t>Apple Pencil 2 Gen. MU8F2AM/A</t>
  </si>
  <si>
    <t xml:space="preserve">Apple  20W USB-C Power Adapter </t>
  </si>
  <si>
    <t>Apple USB-C Charge Cable 60W (1M)</t>
  </si>
  <si>
    <t>AirPods 2nd Gen. W/  Charging Case</t>
  </si>
  <si>
    <t>AirPods Pro (2nd Gen. USB-C)</t>
  </si>
  <si>
    <t>AirPods 3rd Gen.</t>
  </si>
  <si>
    <t>AirPods 4 with ActiveNoise Cancellation</t>
  </si>
  <si>
    <t xml:space="preserve">AirPods Pro 2 (2nd Gen. USB-C) </t>
  </si>
  <si>
    <t xml:space="preserve">AirPods Max - Blue </t>
  </si>
  <si>
    <t>Apple EARPODS with USB-C (con Cable)</t>
  </si>
  <si>
    <t>Apple Watch Ultra 49MM  (GPS + Cell)  | Titanium Case with Trail Loop M/L Yellow/Beige</t>
  </si>
  <si>
    <t>Apple Watch SE 2nd Gen.  (GPS + Cell)  - Caja de Aluminio en Plata de 40 mm - Correa deportiva azul tempestad - Talla S/M</t>
  </si>
  <si>
    <t xml:space="preserve">Apple Watch Ultra 2 (GPS + Cell)  - Caja de titanio de 49 mm - Correa Loop Trail naranja/beis - Talla M/L </t>
  </si>
  <si>
    <t>Apple Watch Ultra 2 (GPS + Cell)  | ular 49mm Natural Titanium Case with Natural Titanium Milanese Loop - L | MX5T3LW/A</t>
  </si>
  <si>
    <t>Apple Watch SE (GPS + Cell)  | ular 40mm | Silver Aluminum Case with Denim Sport Band</t>
  </si>
  <si>
    <t>iPhone LE Wallet W/MagSafe Mulberry</t>
  </si>
  <si>
    <t>iPhone LE Wallet W/MagSafe Blue</t>
  </si>
  <si>
    <t>iPhone LE Wallet W/MagSafe/ Midnight</t>
  </si>
  <si>
    <t xml:space="preserve">Apple Air Tag (1 Pack) | </t>
  </si>
  <si>
    <t>AirTag Loop Silicone White</t>
  </si>
  <si>
    <t>AirTag Loop Silicone Navy</t>
  </si>
  <si>
    <t xml:space="preserve">JBL GO 4 Bluetooth Waterproof Speaker | Camo </t>
  </si>
  <si>
    <t xml:space="preserve">JBL GO 4 Bluetooth Waterproof Speaker | Blue </t>
  </si>
  <si>
    <t xml:space="preserve">JBL GO 4 Bluetooth Waterproof Speaker | White </t>
  </si>
  <si>
    <t xml:space="preserve">JBL Flip 6 PorTable Waterproof Bluetooth Speaker | Blue </t>
  </si>
  <si>
    <t xml:space="preserve">JBL Flip 6 PorTable Waterproof Bluetooth Speaker | Teal </t>
  </si>
  <si>
    <t xml:space="preserve">JBL Flip 6 PorTable Waterproof Bluetooth Speaker | Gray </t>
  </si>
  <si>
    <t xml:space="preserve">JBL Clip 5 Bluetooth Speaker | Black </t>
  </si>
  <si>
    <t xml:space="preserve">JBL Clip 5 Bluetooth Speaker | Blue </t>
  </si>
  <si>
    <t xml:space="preserve">PARTYBOX JBL ENCORE W/MIC | Black </t>
  </si>
  <si>
    <t xml:space="preserve">15W Power Adapter W/Cable | Black </t>
  </si>
  <si>
    <t xml:space="preserve">SM 25W PD Power Adapter (Cable INCLUDED)  </t>
  </si>
  <si>
    <t>45W Power Adapter</t>
  </si>
  <si>
    <t>Samsung Wireless Charger DUO</t>
  </si>
  <si>
    <t xml:space="preserve">Galaxy Smart TAG 2 (1PACK) </t>
  </si>
  <si>
    <t>Galaxy Watch 7 40MM | Beige</t>
  </si>
  <si>
    <t>Samsung Galaxy FIT 3 Watch | Pink Gold</t>
  </si>
  <si>
    <t>Samsung Galaxy FIT 3 Watch | Gray</t>
  </si>
  <si>
    <t>Samsung Galaxy FIT 3 Watch | Silver</t>
  </si>
  <si>
    <t xml:space="preserve">Galaxy Buds FE Grey </t>
  </si>
  <si>
    <t xml:space="preserve">Galaxy Buds FE White </t>
  </si>
  <si>
    <t>Buds 2 Pro| Graphite</t>
  </si>
  <si>
    <t>Buds 2 Pro| VIOLET</t>
  </si>
  <si>
    <t>Argom Tech SKEIWatch C70 | Blue</t>
  </si>
  <si>
    <t>Argom Tech SKEIWatch C70 | Black</t>
  </si>
  <si>
    <t>Argom Tech SKEIWatch S50 | Black</t>
  </si>
  <si>
    <t>MOTOBuds | Blueberry</t>
  </si>
  <si>
    <t>MOTOBuds | Ilusion Blue</t>
  </si>
  <si>
    <t>MOTOBuds | Peach Pink</t>
  </si>
  <si>
    <t>MOTOBuds + | Black</t>
  </si>
  <si>
    <t>MOTOBuds + | Gray</t>
  </si>
  <si>
    <t>33659H</t>
  </si>
  <si>
    <t>11-inch iPad Wi-Fi + Cellular 128GB – Blue (A16)</t>
  </si>
  <si>
    <t>33658H</t>
  </si>
  <si>
    <t>11-inch iPad Wi-Fi + Cellular 128GB – Silver (A16)</t>
  </si>
  <si>
    <t>33660H</t>
  </si>
  <si>
    <t>11-inch iPad Wi-Fi + Cellular 128GB – Pink (A16)</t>
  </si>
  <si>
    <t>33669H</t>
  </si>
  <si>
    <t>iPad Air 11-inch. Wi-Fi + Cellular 128GB - Space Gray | MCFV4LL/A</t>
  </si>
  <si>
    <t>33670H</t>
  </si>
  <si>
    <t>iPad Air 11-inch. Wi-Fi + Cellular 128GB - Blue | MCFW4LL/A</t>
  </si>
  <si>
    <t>33671H</t>
  </si>
  <si>
    <t>iPad Air 11-inch. Wi-Fi + Cellular 128GB - Starlight | MCFX4LL/A</t>
  </si>
  <si>
    <t>33676H</t>
  </si>
  <si>
    <t>Samsung Galaxy Tab S10 FE 128GB 5G (NEW)</t>
  </si>
  <si>
    <t>Lista de Precios de  Financiamiento- Celulares PYMES/CORP</t>
  </si>
  <si>
    <t xml:space="preserve">Estos precios aplican cuando el cliente activa  una línea o más en cualquier plan mensual en  Financiamiento
</t>
  </si>
  <si>
    <t>FIUP20</t>
  </si>
  <si>
    <t xml:space="preserve"> Precio Regular</t>
  </si>
  <si>
    <t>Lista de Precios Financiamiento- Módems, Routers, Mifi, Tablets &amp; iPdas PYMES/CORP</t>
  </si>
  <si>
    <t xml:space="preserve">Estos precios aplican cuando el cliente activa  una línea o más en cualquier plan mensual en Financiamiento
</t>
  </si>
  <si>
    <t>Price code→</t>
  </si>
  <si>
    <t>Lista de Precios Financiamiento- Accesorios - PYM/CORP</t>
  </si>
  <si>
    <t>33556H</t>
  </si>
  <si>
    <t>NETGEAR M6 PRO 5G MIFI</t>
  </si>
  <si>
    <t>33348H</t>
  </si>
  <si>
    <t>Franklin JEXstream CG890-5G</t>
  </si>
  <si>
    <t>33638H</t>
  </si>
  <si>
    <t>Franklin JEXstream RG2100-5G</t>
  </si>
  <si>
    <t>33578H</t>
  </si>
  <si>
    <t>PCD Módem R402X BLACK</t>
  </si>
  <si>
    <t>SAMSUNG GALAXY TAB S10 FE 128GB 5G</t>
  </si>
  <si>
    <t>iPad Pro 13' (7th Generation) WIFI+CELL 256GB | Space Black- MVXR3LL/A</t>
  </si>
  <si>
    <t>iPad Pro 11' (5th Generation) WIFI+CELL 256GB | Silver - MVW23LL/A (M4)</t>
  </si>
  <si>
    <t>iPad Pro 11' (5th Generation) WIFI+CELL 256GB | Space Black- MVW13LL/A (M4)</t>
  </si>
  <si>
    <t>FRANKLIN JEX STREAM CG890 5G</t>
  </si>
  <si>
    <t>FRANKLIN JEX STREAM RG2100 5G</t>
  </si>
  <si>
    <t>33673H</t>
  </si>
  <si>
    <t xml:space="preserve">SAMSUNG GALAXY A26 A266U 128GB BLACK </t>
  </si>
  <si>
    <r>
      <t xml:space="preserve">iPad Pro 13' (7th Generation) WIFI+CELL 256GB | Silver </t>
    </r>
    <r>
      <rPr>
        <b/>
        <sz val="11"/>
        <rFont val="Calibri"/>
        <family val="2"/>
      </rPr>
      <t xml:space="preserve">-  </t>
    </r>
    <r>
      <rPr>
        <sz val="11"/>
        <rFont val="Calibri"/>
        <family val="2"/>
      </rPr>
      <t>MVXT3LL/A</t>
    </r>
  </si>
  <si>
    <t>33648H</t>
  </si>
  <si>
    <t>SAMSUNG GALAXY A36 A366U 128GB BLACK</t>
  </si>
  <si>
    <t>33649H</t>
  </si>
  <si>
    <t xml:space="preserve">SAMSUNG GALAXY A36 A366U 128GB LIGHT GREEN </t>
  </si>
  <si>
    <t>33650H</t>
  </si>
  <si>
    <t xml:space="preserve">SAMSUNG GALAXY A36 A366U 128GB LIGHT VIOLET </t>
  </si>
  <si>
    <t>31298H</t>
  </si>
  <si>
    <t>Wireless Mophie Car Holder - Black</t>
  </si>
  <si>
    <t>31302H</t>
  </si>
  <si>
    <t>Car Charger Double White</t>
  </si>
  <si>
    <t>31324H</t>
  </si>
  <si>
    <t>Car Charger Double Black</t>
  </si>
  <si>
    <t>30956H</t>
  </si>
  <si>
    <t>Amazon Echo Dot 3rd Gen.  Black</t>
  </si>
  <si>
    <t>30989H</t>
  </si>
  <si>
    <t>HomePod Space Gray</t>
  </si>
  <si>
    <t>30990H</t>
  </si>
  <si>
    <t>HomePod White</t>
  </si>
  <si>
    <t>31779H</t>
  </si>
  <si>
    <t>Apple 20W USB-C Power Adapter</t>
  </si>
  <si>
    <t>31150H</t>
  </si>
  <si>
    <t>Apple 30W USB- C Power Adapter</t>
  </si>
  <si>
    <t>33639H</t>
  </si>
  <si>
    <t>Apple Pencil 1 Gen. (New Sku) (MYQW3BE/A)</t>
  </si>
  <si>
    <t>31055H</t>
  </si>
  <si>
    <t>JBL Endurance Run Teal</t>
  </si>
  <si>
    <t>31056H</t>
  </si>
  <si>
    <t>JBL Endurance Run Black</t>
  </si>
  <si>
    <t>32803H</t>
  </si>
  <si>
    <t>GO 3 Speaker | Red</t>
  </si>
  <si>
    <t>32875H</t>
  </si>
  <si>
    <t>JBL Quantum 200 Gaming Headset wiRed over ear | Black</t>
  </si>
  <si>
    <t>32800H</t>
  </si>
  <si>
    <t>Tune 230NC Wireless Noise Cancelling EarBuds | Blue</t>
  </si>
  <si>
    <t>32801H</t>
  </si>
  <si>
    <t>32802H</t>
  </si>
  <si>
    <t>Tune 230NC Wireless Noise Cancelling EarBuds| White</t>
  </si>
  <si>
    <t>30870H</t>
  </si>
  <si>
    <t>Galaxy Buds</t>
  </si>
  <si>
    <t>31530H</t>
  </si>
  <si>
    <t>Galaxy Buds LIVE BRONCE</t>
  </si>
  <si>
    <t>33693H</t>
  </si>
  <si>
    <t xml:space="preserve">MOTO G 2025XT2513-1 128GB  DARKEST SPRUCE </t>
  </si>
  <si>
    <t>33694H</t>
  </si>
  <si>
    <t xml:space="preserve">MOTO G POWER 2025 XT2515-1 128GB  JUNIPER </t>
  </si>
  <si>
    <t>33695H</t>
  </si>
  <si>
    <t xml:space="preserve">MOTO G POWER 2025 XT2515-1 128GB GRISAILLE </t>
  </si>
  <si>
    <t>33727H</t>
  </si>
  <si>
    <t xml:space="preserve">SAMSUNG GXY Z FLIP 7 F766U 256GB JET BLACK </t>
  </si>
  <si>
    <t>33728H</t>
  </si>
  <si>
    <t xml:space="preserve">SAMSUNG GXY Z FLIP 7 F766U 256GB BLUE SHADOW </t>
  </si>
  <si>
    <t>33729H</t>
  </si>
  <si>
    <t xml:space="preserve">SAMSUNG GXY Z FLIP 7 F766U 256GB CORAL RED </t>
  </si>
  <si>
    <t>33730H</t>
  </si>
  <si>
    <t xml:space="preserve">SAMSUNG GXY Z FOLD 7 F966U 256GB JET BLACK </t>
  </si>
  <si>
    <t>33731H</t>
  </si>
  <si>
    <t xml:space="preserve">SAMSUNG GXY Z FOLD 7 F966U 256GB BLUE SHADOW </t>
  </si>
  <si>
    <t>33732H</t>
  </si>
  <si>
    <t xml:space="preserve">SAMSUNG GXY Z FOLD 7 F966U 256GB SILVER SHADOW </t>
  </si>
  <si>
    <t>1ro de octubre al 31 de diciembre de 2025</t>
  </si>
  <si>
    <t>33750H</t>
  </si>
  <si>
    <t>SAMSUNG A07 64GB A075M BLACK</t>
  </si>
  <si>
    <t>33751H</t>
  </si>
  <si>
    <t>SAMSUNG A07 64GB A075M LIGHT VIOLET</t>
  </si>
  <si>
    <t>33752H</t>
  </si>
  <si>
    <t>SAMSUNG A07 64GB A075M GREEN</t>
  </si>
  <si>
    <t>33636H</t>
  </si>
  <si>
    <t>SAMSUNG GALAXY A16 A166U 128GB BLACK</t>
  </si>
  <si>
    <t>33637H</t>
  </si>
  <si>
    <t>SAMSUNG GALAXY A16 A166U 128GB GREY</t>
  </si>
  <si>
    <t>33754H</t>
  </si>
  <si>
    <t>SAMSUNG GALAXY S25 FE 128GB JETBLACK</t>
  </si>
  <si>
    <t>33755H</t>
  </si>
  <si>
    <t>SAMSUNG GALAXY S25 FE 128GB ICY BLUE</t>
  </si>
  <si>
    <t>33756H</t>
  </si>
  <si>
    <t>SAMSUNG GALAXY S25 FE 128GB NAVY</t>
  </si>
  <si>
    <t>33757H</t>
  </si>
  <si>
    <t>SAMSUNG GALAXY S25 FE 128GB WHITE</t>
  </si>
  <si>
    <t>33762H</t>
  </si>
  <si>
    <t>iPhone 17 256GB Black</t>
  </si>
  <si>
    <t>33764H</t>
  </si>
  <si>
    <t>iPhone 17 256GB White</t>
  </si>
  <si>
    <t>33763H</t>
  </si>
  <si>
    <t>iPhone 17 256GB Mist Blue</t>
  </si>
  <si>
    <t>33761H</t>
  </si>
  <si>
    <t>iPhone 17 256GB Lavender</t>
  </si>
  <si>
    <t>33760H</t>
  </si>
  <si>
    <t>iPhone 17 256GB Sage</t>
  </si>
  <si>
    <t>33766H</t>
  </si>
  <si>
    <t>iPhone Air 256GB Space Black</t>
  </si>
  <si>
    <t>33767H</t>
  </si>
  <si>
    <t>iPhone Air 256GB Cloud White</t>
  </si>
  <si>
    <t>33768H</t>
  </si>
  <si>
    <t>iPhone Air 256GB Sky Blue</t>
  </si>
  <si>
    <t>33765H</t>
  </si>
  <si>
    <t>iPhone Air 256GB Light Gold</t>
  </si>
  <si>
    <t>33769H</t>
  </si>
  <si>
    <t>iPhone 17 Pro 256GB Silver</t>
  </si>
  <si>
    <t>33771H</t>
  </si>
  <si>
    <t>iPhone 17 Pro 256GB Cosmic Orange</t>
  </si>
  <si>
    <t>33770H</t>
  </si>
  <si>
    <t>iPhone 17 Pro 256GB Deep Blue</t>
  </si>
  <si>
    <t>33809H</t>
  </si>
  <si>
    <t>iPhone Air 512GB SPACE BLACK</t>
  </si>
  <si>
    <t>33810H</t>
  </si>
  <si>
    <t>iPhone Air 512GB CLOUD WHITE</t>
  </si>
  <si>
    <t>33811H</t>
  </si>
  <si>
    <t>iPhone Air 512GB SKY BLUE</t>
  </si>
  <si>
    <t>33812H</t>
  </si>
  <si>
    <t>iPhone Air 512GB LIGHT GOLD</t>
  </si>
  <si>
    <t>33803H</t>
  </si>
  <si>
    <t>iPhone 17 Pro Max 256GB Silver</t>
  </si>
  <si>
    <t>33775H</t>
  </si>
  <si>
    <t>iPhone 17 Pro Max 256GB Cosmic Orange</t>
  </si>
  <si>
    <t>33774H</t>
  </si>
  <si>
    <t>iPhone 17 Pro Max 256GB Deep Blue</t>
  </si>
  <si>
    <t>33802H</t>
  </si>
  <si>
    <t>iPhone 17 Pro 512GB Silver</t>
  </si>
  <si>
    <t>33773H</t>
  </si>
  <si>
    <t>iPhone 17 Pro 512GB Cosmic Orange</t>
  </si>
  <si>
    <t>33772H</t>
  </si>
  <si>
    <t>iPhone 17 Pro 512GB Deep Blue</t>
  </si>
  <si>
    <t>33798H</t>
  </si>
  <si>
    <t>iPhone 17 Clear Case with MagSafe | MGF24LL/A</t>
  </si>
  <si>
    <t>33799H</t>
  </si>
  <si>
    <t>iPhone Air Case with MagSafe – Frost | MGH34LL/A</t>
  </si>
  <si>
    <t>33800H</t>
  </si>
  <si>
    <t>iPhone 17 Pro Clear Case with MagSafe | MGFT4LL/A</t>
  </si>
  <si>
    <t>33801H</t>
  </si>
  <si>
    <t>iPhone 17 Pro Max Clear Case with MagSafe | MGFW4LL/A</t>
  </si>
  <si>
    <t>31517H</t>
  </si>
  <si>
    <t>Smart Folio  iPad 7 10.2” 7th Gen. MVQ42ZM/A Pink Sand</t>
  </si>
  <si>
    <t>31518H</t>
  </si>
  <si>
    <t>Smart Folio  iPad 7 10.2” 7th Gen. MX4U2ZM/A Black</t>
  </si>
  <si>
    <t>31520H</t>
  </si>
  <si>
    <t>Smart Folio  iPad 7 10.2” 7th Gen.  MY1U2ZM/A Cactus</t>
  </si>
  <si>
    <t>31723H</t>
  </si>
  <si>
    <t>Smart Keyboard Folio for 12.9 iPad Pro MXNL2LL/A</t>
  </si>
  <si>
    <t>31724H</t>
  </si>
  <si>
    <t>Smart Keyboard Folio for iPad Air/ 11 iPad Pro MXNK2LL/A</t>
  </si>
  <si>
    <t>31725H</t>
  </si>
  <si>
    <t>Smart Keyboard Folio for iPad 8 MX3L2LL/A</t>
  </si>
  <si>
    <t>33797H</t>
  </si>
  <si>
    <t>AirPods Pro 3 | MFHP4LL/A</t>
  </si>
  <si>
    <t>33792H</t>
  </si>
  <si>
    <t>Apple Watch Series 11 GPS 46mm Silver Aluminum Case with Purple Fog Sport Band - M/L | MEVA4LW/A</t>
  </si>
  <si>
    <t>33794H</t>
  </si>
  <si>
    <t>Apple Watch Series 11 GPS 46mm Jet Black Aluminum Case with Black Sport Band - M/L|MEUX4LW/A</t>
  </si>
  <si>
    <t>33795H</t>
  </si>
  <si>
    <t>Apple Watch Ultra 3 GPS + Cellular 49mm Natural Titanium Case with Anchor Blue Ocean Band|MEWH4LW/A</t>
  </si>
  <si>
    <t>33796H</t>
  </si>
  <si>
    <t>Apple Watch Ultra 3 GPS + Cellular 49mm Black Titanium Case with Black Ocean Band |MF0J4LW/A</t>
  </si>
  <si>
    <t>31972H</t>
  </si>
  <si>
    <t>Protection Pro Mica Samsung A02</t>
  </si>
  <si>
    <t>33739H</t>
  </si>
  <si>
    <t>Samsung Q7 Fold7 Clear Case</t>
  </si>
  <si>
    <t>33740H</t>
  </si>
  <si>
    <t>Samsung B7 Flip7 Clear Case</t>
  </si>
  <si>
    <t>33733H</t>
  </si>
  <si>
    <t>Samsung Galaxy Watch 8 40MM | Dark Gray</t>
  </si>
  <si>
    <t>33734H</t>
  </si>
  <si>
    <t>Samsung Galaxy Watch 8 40MM | Silver</t>
  </si>
  <si>
    <t>33735H</t>
  </si>
  <si>
    <t>Samsung Galaxy Watch 8 44MM | Dark Gray</t>
  </si>
  <si>
    <t>33736H</t>
  </si>
  <si>
    <t>Samsung Galaxy Watch 8 44MM | Silver</t>
  </si>
  <si>
    <t>33737H</t>
  </si>
  <si>
    <t>Samsung Galaxy Watch8 Classic 46MM | Black</t>
  </si>
  <si>
    <t>33738H</t>
  </si>
  <si>
    <t>Samsung Galaxy Watch8 Classic 46MM | White</t>
  </si>
  <si>
    <t>33415H</t>
  </si>
  <si>
    <t>Samsung Galaxy Buds3 Pro Silver</t>
  </si>
  <si>
    <t>33416H</t>
  </si>
  <si>
    <t>Samsung Galaxy Buds3 Pro White</t>
  </si>
  <si>
    <t>33741H</t>
  </si>
  <si>
    <t xml:space="preserve">Moto Watch Fit | Verde </t>
  </si>
  <si>
    <t>33742H</t>
  </si>
  <si>
    <t>Moto Charger 33W | Black</t>
  </si>
  <si>
    <t>33743H</t>
  </si>
  <si>
    <t>Moto Charger 68W |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</si>
</sst>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7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Arial"/>
      <family val="2"/>
    </font>
    <font>
      <b/>
      <sz val="16"/>
      <name val="Arial"/>
      <family val="2"/>
    </font>
    <font>
      <sz val="12"/>
      <color rgb="FFFF0000"/>
      <name val="Arial"/>
      <family val="2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color indexed="10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11"/>
      <color indexed="12"/>
      <name val="Arial"/>
      <family val="2"/>
    </font>
    <font>
      <b/>
      <sz val="11"/>
      <color rgb="FF9933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b/>
      <sz val="16"/>
      <color theme="1"/>
      <name val="Arial"/>
      <family val="2"/>
    </font>
    <font>
      <sz val="12"/>
      <name val="Calibri"/>
      <family val="2"/>
      <scheme val="minor"/>
    </font>
    <font>
      <sz val="10"/>
      <name val="Arial"/>
      <family val="2"/>
    </font>
    <font>
      <b/>
      <sz val="16"/>
      <color indexed="9"/>
      <name val="Arial"/>
      <family val="2"/>
    </font>
    <font>
      <b/>
      <sz val="18"/>
      <name val="Arial"/>
      <family val="2"/>
    </font>
    <font>
      <b/>
      <sz val="18"/>
      <color indexed="10"/>
      <name val="Arial"/>
      <family val="2"/>
    </font>
    <font>
      <b/>
      <sz val="12"/>
      <color indexed="12"/>
      <name val="Arial"/>
      <family val="2"/>
    </font>
    <font>
      <b/>
      <i/>
      <sz val="12"/>
      <color indexed="60"/>
      <name val="Arial"/>
      <family val="2"/>
    </font>
    <font>
      <sz val="12"/>
      <color rgb="FF003399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Arial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.5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theme="0"/>
      <name val="Arial"/>
      <family val="2"/>
    </font>
    <font>
      <sz val="10"/>
      <color theme="1"/>
      <name val="Tahoma"/>
      <family val="2"/>
    </font>
    <font>
      <b/>
      <sz val="12"/>
      <name val="Calibri"/>
      <family val="2"/>
      <scheme val="minor"/>
    </font>
    <font>
      <sz val="14"/>
      <name val="Calibri"/>
      <family val="2"/>
    </font>
    <font>
      <sz val="14"/>
      <color rgb="FFFF0000"/>
      <name val="Calibri"/>
      <family val="2"/>
    </font>
    <font>
      <sz val="12"/>
      <color rgb="FFFF0000"/>
      <name val="Calibri"/>
      <family val="2"/>
      <scheme val="minor"/>
    </font>
    <font>
      <b/>
      <sz val="14"/>
      <color rgb="FFFF0000"/>
      <name val="Calibri"/>
      <family val="2"/>
    </font>
    <font>
      <b/>
      <sz val="14"/>
      <name val="Calibri"/>
      <family val="2"/>
    </font>
    <font>
      <sz val="1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b/>
      <sz val="12"/>
      <color rgb="FFFF0000"/>
      <name val="Calibri"/>
      <family val="2"/>
      <scheme val="minor"/>
    </font>
    <font>
      <sz val="11"/>
      <color rgb="FF9C0006"/>
      <name val="Calibri"/>
      <family val="2"/>
    </font>
    <font>
      <b/>
      <sz val="14"/>
      <color rgb="FF9C0006"/>
      <name val="Calibri"/>
      <family val="2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14"/>
      <color rgb="FFFFFFFF"/>
      <name val="Arial"/>
      <family val="2"/>
    </font>
    <font>
      <b/>
      <sz val="14"/>
      <color rgb="FFFF0000"/>
      <name val="Arial"/>
      <family val="2"/>
    </font>
    <font>
      <b/>
      <sz val="12"/>
      <color indexed="1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indexed="12"/>
      <name val="Calibri"/>
      <family val="2"/>
      <scheme val="minor"/>
    </font>
    <font>
      <b/>
      <i/>
      <sz val="12"/>
      <color indexed="60"/>
      <name val="Calibri"/>
      <family val="2"/>
      <scheme val="minor"/>
    </font>
    <font>
      <b/>
      <i/>
      <sz val="12"/>
      <color indexed="1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rgb="FFFF0000"/>
      <name val="Aptos Narrow"/>
      <family val="2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B8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4" fillId="0" borderId="0"/>
    <xf numFmtId="0" fontId="44" fillId="0" borderId="0"/>
    <xf numFmtId="0" fontId="55" fillId="12" borderId="0" applyNumberFormat="0" applyBorder="0" applyAlignment="0" applyProtection="0"/>
  </cellStyleXfs>
  <cellXfs count="263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14" fontId="10" fillId="2" borderId="1" xfId="0" applyNumberFormat="1" applyFont="1" applyFill="1" applyBorder="1"/>
    <xf numFmtId="4" fontId="11" fillId="2" borderId="2" xfId="0" applyNumberFormat="1" applyFont="1" applyFill="1" applyBorder="1" applyAlignment="1">
      <alignment horizontal="center" vertical="center"/>
    </xf>
    <xf numFmtId="0" fontId="15" fillId="0" borderId="0" xfId="0" applyFont="1"/>
    <xf numFmtId="0" fontId="14" fillId="3" borderId="4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1" fontId="18" fillId="0" borderId="9" xfId="0" applyNumberFormat="1" applyFont="1" applyBorder="1" applyAlignment="1">
      <alignment horizontal="center" vertical="center"/>
    </xf>
    <xf numFmtId="1" fontId="19" fillId="0" borderId="9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64" fontId="19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0" fontId="20" fillId="0" borderId="0" xfId="0" applyFont="1"/>
    <xf numFmtId="164" fontId="18" fillId="0" borderId="5" xfId="0" applyNumberFormat="1" applyFont="1" applyBorder="1" applyAlignment="1">
      <alignment horizontal="center"/>
    </xf>
    <xf numFmtId="1" fontId="18" fillId="0" borderId="5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4" fillId="5" borderId="5" xfId="0" applyFont="1" applyFill="1" applyBorder="1" applyAlignment="1">
      <alignment vertical="center" wrapText="1"/>
    </xf>
    <xf numFmtId="0" fontId="20" fillId="0" borderId="0" xfId="0" applyFont="1" applyAlignment="1">
      <alignment horizontal="center"/>
    </xf>
    <xf numFmtId="0" fontId="14" fillId="3" borderId="5" xfId="0" applyFont="1" applyFill="1" applyBorder="1" applyAlignment="1">
      <alignment horizontal="center" vertical="center"/>
    </xf>
    <xf numFmtId="164" fontId="18" fillId="0" borderId="3" xfId="1" applyNumberFormat="1" applyFont="1" applyFill="1" applyBorder="1" applyAlignment="1">
      <alignment horizontal="center" vertical="center"/>
    </xf>
    <xf numFmtId="14" fontId="9" fillId="6" borderId="12" xfId="0" applyNumberFormat="1" applyFont="1" applyFill="1" applyBorder="1"/>
    <xf numFmtId="14" fontId="9" fillId="6" borderId="13" xfId="0" applyNumberFormat="1" applyFont="1" applyFill="1" applyBorder="1"/>
    <xf numFmtId="4" fontId="11" fillId="6" borderId="13" xfId="0" applyNumberFormat="1" applyFont="1" applyFill="1" applyBorder="1" applyAlignment="1">
      <alignment horizontal="center" vertical="center"/>
    </xf>
    <xf numFmtId="14" fontId="9" fillId="0" borderId="0" xfId="0" applyNumberFormat="1" applyFont="1"/>
    <xf numFmtId="4" fontId="11" fillId="0" borderId="0" xfId="0" applyNumberFormat="1" applyFont="1" applyAlignment="1">
      <alignment horizontal="center" vertical="center"/>
    </xf>
    <xf numFmtId="0" fontId="4" fillId="0" borderId="0" xfId="0" applyFont="1"/>
    <xf numFmtId="4" fontId="27" fillId="0" borderId="0" xfId="0" applyNumberFormat="1" applyFont="1" applyAlignment="1">
      <alignment horizontal="center" vertical="center"/>
    </xf>
    <xf numFmtId="14" fontId="26" fillId="0" borderId="0" xfId="0" applyNumberFormat="1" applyFont="1"/>
    <xf numFmtId="14" fontId="4" fillId="0" borderId="0" xfId="0" applyNumberFormat="1" applyFont="1"/>
    <xf numFmtId="14" fontId="9" fillId="0" borderId="15" xfId="0" applyNumberFormat="1" applyFont="1" applyBorder="1"/>
    <xf numFmtId="0" fontId="9" fillId="3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28" fillId="3" borderId="5" xfId="0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14" fontId="31" fillId="6" borderId="5" xfId="0" applyNumberFormat="1" applyFont="1" applyFill="1" applyBorder="1" applyAlignment="1">
      <alignment horizontal="left"/>
    </xf>
    <xf numFmtId="4" fontId="31" fillId="6" borderId="5" xfId="0" applyNumberFormat="1" applyFont="1" applyFill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164" fontId="3" fillId="0" borderId="5" xfId="1" applyNumberFormat="1" applyFont="1" applyFill="1" applyBorder="1" applyAlignment="1">
      <alignment horizontal="center" vertical="center"/>
    </xf>
    <xf numFmtId="7" fontId="3" fillId="0" borderId="5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4" fontId="31" fillId="6" borderId="5" xfId="0" applyNumberFormat="1" applyFont="1" applyFill="1" applyBorder="1"/>
    <xf numFmtId="0" fontId="2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4" fontId="9" fillId="6" borderId="5" xfId="0" applyNumberFormat="1" applyFont="1" applyFill="1" applyBorder="1" applyAlignment="1">
      <alignment horizontal="left" vertical="center"/>
    </xf>
    <xf numFmtId="164" fontId="3" fillId="0" borderId="5" xfId="0" applyNumberFormat="1" applyFont="1" applyBorder="1" applyAlignment="1">
      <alignment horizontal="center"/>
    </xf>
    <xf numFmtId="0" fontId="32" fillId="0" borderId="0" xfId="0" applyFont="1"/>
    <xf numFmtId="0" fontId="14" fillId="3" borderId="5" xfId="0" applyFont="1" applyFill="1" applyBorder="1" applyAlignment="1">
      <alignment horizontal="center" wrapText="1"/>
    </xf>
    <xf numFmtId="4" fontId="31" fillId="6" borderId="5" xfId="0" applyNumberFormat="1" applyFont="1" applyFill="1" applyBorder="1" applyAlignment="1">
      <alignment horizontal="center" vertical="center"/>
    </xf>
    <xf numFmtId="0" fontId="34" fillId="4" borderId="0" xfId="0" applyFont="1" applyFill="1"/>
    <xf numFmtId="0" fontId="20" fillId="4" borderId="0" xfId="0" applyFont="1" applyFill="1"/>
    <xf numFmtId="0" fontId="35" fillId="8" borderId="5" xfId="0" applyFont="1" applyFill="1" applyBorder="1" applyAlignment="1">
      <alignment horizontal="center" wrapText="1" readingOrder="1"/>
    </xf>
    <xf numFmtId="0" fontId="36" fillId="8" borderId="5" xfId="0" applyFont="1" applyFill="1" applyBorder="1" applyAlignment="1">
      <alignment horizontal="center" wrapText="1" readingOrder="1"/>
    </xf>
    <xf numFmtId="0" fontId="2" fillId="0" borderId="0" xfId="0" applyFont="1"/>
    <xf numFmtId="0" fontId="12" fillId="0" borderId="5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6" fillId="4" borderId="5" xfId="0" applyFont="1" applyFill="1" applyBorder="1" applyAlignment="1">
      <alignment horizontal="center" vertical="center" wrapText="1"/>
    </xf>
    <xf numFmtId="0" fontId="33" fillId="4" borderId="8" xfId="0" applyFont="1" applyFill="1" applyBorder="1" applyAlignment="1">
      <alignment horizontal="center"/>
    </xf>
    <xf numFmtId="0" fontId="22" fillId="5" borderId="5" xfId="0" applyFont="1" applyFill="1" applyBorder="1" applyAlignment="1">
      <alignment vertical="center" wrapText="1"/>
    </xf>
    <xf numFmtId="14" fontId="9" fillId="2" borderId="5" xfId="0" applyNumberFormat="1" applyFont="1" applyFill="1" applyBorder="1"/>
    <xf numFmtId="14" fontId="10" fillId="2" borderId="5" xfId="0" applyNumberFormat="1" applyFont="1" applyFill="1" applyBorder="1"/>
    <xf numFmtId="4" fontId="11" fillId="2" borderId="5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33" fillId="4" borderId="10" xfId="0" applyFont="1" applyFill="1" applyBorder="1" applyAlignment="1">
      <alignment horizontal="center"/>
    </xf>
    <xf numFmtId="164" fontId="19" fillId="0" borderId="3" xfId="1" applyNumberFormat="1" applyFont="1" applyFill="1" applyBorder="1" applyAlignment="1">
      <alignment horizontal="center" vertical="center"/>
    </xf>
    <xf numFmtId="0" fontId="39" fillId="4" borderId="0" xfId="0" applyFont="1" applyFill="1"/>
    <xf numFmtId="0" fontId="40" fillId="0" borderId="0" xfId="0" applyFont="1" applyAlignment="1">
      <alignment horizontal="left" vertical="center" readingOrder="1"/>
    </xf>
    <xf numFmtId="0" fontId="39" fillId="0" borderId="0" xfId="0" applyFont="1" applyAlignment="1">
      <alignment horizontal="left" vertical="center" readingOrder="1"/>
    </xf>
    <xf numFmtId="0" fontId="14" fillId="0" borderId="0" xfId="0" applyFont="1"/>
    <xf numFmtId="0" fontId="40" fillId="0" borderId="0" xfId="0" applyFont="1" applyAlignment="1">
      <alignment horizontal="left" vertical="top" wrapText="1"/>
    </xf>
    <xf numFmtId="0" fontId="39" fillId="0" borderId="0" xfId="0" applyFont="1" applyAlignment="1">
      <alignment vertical="top" wrapText="1"/>
    </xf>
    <xf numFmtId="0" fontId="39" fillId="0" borderId="11" xfId="0" applyFont="1" applyBorder="1" applyAlignment="1">
      <alignment horizontal="left" vertical="top" wrapText="1"/>
    </xf>
    <xf numFmtId="0" fontId="41" fillId="0" borderId="0" xfId="0" applyFont="1"/>
    <xf numFmtId="0" fontId="33" fillId="0" borderId="0" xfId="0" applyFont="1" applyAlignment="1">
      <alignment horizontal="left"/>
    </xf>
    <xf numFmtId="0" fontId="43" fillId="8" borderId="5" xfId="0" applyFont="1" applyFill="1" applyBorder="1" applyAlignment="1">
      <alignment horizontal="center" wrapText="1" readingOrder="1"/>
    </xf>
    <xf numFmtId="0" fontId="6" fillId="4" borderId="0" xfId="0" applyFont="1" applyFill="1" applyAlignment="1">
      <alignment horizontal="left" vertical="center" readingOrder="1"/>
    </xf>
    <xf numFmtId="0" fontId="34" fillId="4" borderId="0" xfId="0" applyFont="1" applyFill="1" applyAlignment="1">
      <alignment horizontal="left" vertical="center" readingOrder="1"/>
    </xf>
    <xf numFmtId="0" fontId="14" fillId="4" borderId="0" xfId="0" applyFont="1" applyFill="1" applyAlignment="1">
      <alignment horizontal="left"/>
    </xf>
    <xf numFmtId="0" fontId="34" fillId="4" borderId="0" xfId="0" applyFont="1" applyFill="1" applyAlignment="1">
      <alignment vertical="top" wrapText="1"/>
    </xf>
    <xf numFmtId="0" fontId="39" fillId="4" borderId="11" xfId="0" applyFont="1" applyFill="1" applyBorder="1" applyAlignment="1">
      <alignment horizontal="left" vertical="top" wrapText="1"/>
    </xf>
    <xf numFmtId="0" fontId="23" fillId="0" borderId="0" xfId="0" applyFont="1"/>
    <xf numFmtId="164" fontId="18" fillId="0" borderId="5" xfId="0" applyNumberFormat="1" applyFont="1" applyBorder="1" applyAlignment="1">
      <alignment horizontal="center" wrapText="1"/>
    </xf>
    <xf numFmtId="164" fontId="19" fillId="0" borderId="5" xfId="1" applyNumberFormat="1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164" fontId="18" fillId="0" borderId="5" xfId="1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64" fontId="18" fillId="0" borderId="5" xfId="0" applyNumberFormat="1" applyFont="1" applyBorder="1" applyAlignment="1">
      <alignment horizontal="center" vertical="center"/>
    </xf>
    <xf numFmtId="164" fontId="18" fillId="4" borderId="5" xfId="0" applyNumberFormat="1" applyFont="1" applyFill="1" applyBorder="1" applyAlignment="1">
      <alignment horizontal="center"/>
    </xf>
    <xf numFmtId="0" fontId="18" fillId="0" borderId="9" xfId="0" applyFont="1" applyBorder="1" applyAlignment="1">
      <alignment horizontal="center" wrapText="1"/>
    </xf>
    <xf numFmtId="1" fontId="21" fillId="0" borderId="5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/>
    </xf>
    <xf numFmtId="164" fontId="19" fillId="0" borderId="5" xfId="0" applyNumberFormat="1" applyFont="1" applyBorder="1" applyAlignment="1">
      <alignment horizontal="center" wrapText="1"/>
    </xf>
    <xf numFmtId="164" fontId="19" fillId="4" borderId="5" xfId="0" applyNumberFormat="1" applyFont="1" applyFill="1" applyBorder="1" applyAlignment="1">
      <alignment horizontal="center"/>
    </xf>
    <xf numFmtId="0" fontId="6" fillId="0" borderId="0" xfId="0" applyFont="1" applyAlignment="1">
      <alignment horizontal="left" vertical="center" readingOrder="1"/>
    </xf>
    <xf numFmtId="164" fontId="45" fillId="0" borderId="5" xfId="0" applyNumberFormat="1" applyFont="1" applyBorder="1"/>
    <xf numFmtId="164" fontId="45" fillId="0" borderId="5" xfId="1" applyNumberFormat="1" applyFont="1" applyFill="1" applyBorder="1" applyAlignment="1"/>
    <xf numFmtId="164" fontId="45" fillId="0" borderId="5" xfId="1" applyNumberFormat="1" applyFont="1" applyFill="1" applyBorder="1" applyAlignment="1">
      <alignment horizontal="right" vertical="center"/>
    </xf>
    <xf numFmtId="0" fontId="46" fillId="0" borderId="5" xfId="0" applyFont="1" applyBorder="1" applyAlignment="1">
      <alignment horizontal="center" vertical="center"/>
    </xf>
    <xf numFmtId="164" fontId="46" fillId="0" borderId="5" xfId="1" applyNumberFormat="1" applyFont="1" applyBorder="1" applyAlignment="1">
      <alignment horizontal="center" vertical="center"/>
    </xf>
    <xf numFmtId="0" fontId="46" fillId="10" borderId="5" xfId="0" applyFont="1" applyFill="1" applyBorder="1" applyAlignment="1">
      <alignment horizontal="center" vertical="center" wrapText="1" readingOrder="1"/>
    </xf>
    <xf numFmtId="164" fontId="48" fillId="0" borderId="5" xfId="1" applyNumberFormat="1" applyFont="1" applyFill="1" applyBorder="1" applyAlignment="1">
      <alignment horizontal="right" vertical="center" wrapText="1"/>
    </xf>
    <xf numFmtId="0" fontId="40" fillId="0" borderId="11" xfId="0" applyFont="1" applyBorder="1" applyAlignment="1">
      <alignment horizontal="left" vertical="top" wrapText="1"/>
    </xf>
    <xf numFmtId="0" fontId="40" fillId="4" borderId="11" xfId="0" applyFont="1" applyFill="1" applyBorder="1" applyAlignment="1">
      <alignment horizontal="left" vertical="top" wrapText="1"/>
    </xf>
    <xf numFmtId="164" fontId="46" fillId="0" borderId="5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6" fillId="0" borderId="0" xfId="0" applyFont="1" applyAlignment="1">
      <alignment vertical="center"/>
    </xf>
    <xf numFmtId="0" fontId="46" fillId="4" borderId="0" xfId="0" applyFont="1" applyFill="1" applyAlignment="1">
      <alignment vertical="center"/>
    </xf>
    <xf numFmtId="0" fontId="52" fillId="8" borderId="5" xfId="0" applyFont="1" applyFill="1" applyBorder="1" applyAlignment="1">
      <alignment horizontal="center" vertical="center" wrapText="1" readingOrder="1"/>
    </xf>
    <xf numFmtId="0" fontId="53" fillId="8" borderId="5" xfId="0" applyFont="1" applyFill="1" applyBorder="1" applyAlignment="1">
      <alignment horizontal="center" vertical="center" wrapText="1" readingOrder="1"/>
    </xf>
    <xf numFmtId="0" fontId="49" fillId="11" borderId="5" xfId="0" applyFont="1" applyFill="1" applyBorder="1" applyAlignment="1">
      <alignment horizontal="center" vertical="center" wrapText="1"/>
    </xf>
    <xf numFmtId="0" fontId="46" fillId="0" borderId="5" xfId="3" applyFont="1" applyBorder="1" applyAlignment="1">
      <alignment horizontal="center" vertical="center"/>
    </xf>
    <xf numFmtId="0" fontId="49" fillId="4" borderId="0" xfId="0" applyFont="1" applyFill="1" applyAlignment="1">
      <alignment horizontal="center" vertical="center"/>
    </xf>
    <xf numFmtId="0" fontId="49" fillId="4" borderId="0" xfId="0" applyFont="1" applyFill="1" applyAlignment="1">
      <alignment horizontal="center" vertical="center" readingOrder="1"/>
    </xf>
    <xf numFmtId="1" fontId="51" fillId="11" borderId="9" xfId="0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164" fontId="54" fillId="0" borderId="5" xfId="1" applyNumberFormat="1" applyFont="1" applyFill="1" applyBorder="1" applyAlignment="1"/>
    <xf numFmtId="164" fontId="54" fillId="0" borderId="5" xfId="0" applyNumberFormat="1" applyFont="1" applyBorder="1"/>
    <xf numFmtId="164" fontId="54" fillId="0" borderId="5" xfId="1" applyNumberFormat="1" applyFont="1" applyFill="1" applyBorder="1" applyAlignment="1">
      <alignment horizontal="right" vertical="center"/>
    </xf>
    <xf numFmtId="164" fontId="46" fillId="0" borderId="0" xfId="0" applyNumberFormat="1" applyFont="1" applyAlignment="1">
      <alignment vertical="center"/>
    </xf>
    <xf numFmtId="164" fontId="50" fillId="0" borderId="0" xfId="0" applyNumberFormat="1" applyFont="1" applyAlignment="1">
      <alignment horizontal="left" vertical="center"/>
    </xf>
    <xf numFmtId="164" fontId="53" fillId="8" borderId="5" xfId="0" applyNumberFormat="1" applyFont="1" applyFill="1" applyBorder="1" applyAlignment="1">
      <alignment horizontal="center" vertical="center" wrapText="1" readingOrder="1"/>
    </xf>
    <xf numFmtId="0" fontId="49" fillId="4" borderId="0" xfId="0" applyFont="1" applyFill="1" applyAlignment="1">
      <alignment horizontal="left" vertical="center"/>
    </xf>
    <xf numFmtId="0" fontId="50" fillId="0" borderId="0" xfId="0" applyFont="1" applyAlignment="1">
      <alignment horizontal="left" vertical="center" readingOrder="1"/>
    </xf>
    <xf numFmtId="0" fontId="56" fillId="12" borderId="0" xfId="4" applyFont="1" applyAlignment="1">
      <alignment horizontal="left" vertical="top" wrapText="1"/>
    </xf>
    <xf numFmtId="0" fontId="51" fillId="0" borderId="5" xfId="0" applyFont="1" applyBorder="1" applyAlignment="1">
      <alignment horizontal="left" vertical="center"/>
    </xf>
    <xf numFmtId="0" fontId="51" fillId="0" borderId="5" xfId="0" applyFont="1" applyBorder="1" applyAlignment="1">
      <alignment horizontal="left" vertical="center" wrapText="1"/>
    </xf>
    <xf numFmtId="0" fontId="51" fillId="0" borderId="5" xfId="0" applyFont="1" applyBorder="1" applyAlignment="1">
      <alignment vertical="center"/>
    </xf>
    <xf numFmtId="0" fontId="51" fillId="9" borderId="5" xfId="0" applyFont="1" applyFill="1" applyBorder="1" applyAlignment="1">
      <alignment vertical="center"/>
    </xf>
    <xf numFmtId="0" fontId="51" fillId="9" borderId="5" xfId="0" applyFont="1" applyFill="1" applyBorder="1" applyAlignment="1">
      <alignment horizontal="left" vertical="center" wrapText="1"/>
    </xf>
    <xf numFmtId="0" fontId="51" fillId="0" borderId="5" xfId="0" applyFont="1" applyBorder="1" applyAlignment="1">
      <alignment horizontal="center" vertical="center"/>
    </xf>
    <xf numFmtId="0" fontId="34" fillId="4" borderId="0" xfId="0" applyFont="1" applyFill="1" applyAlignment="1">
      <alignment vertical="center"/>
    </xf>
    <xf numFmtId="0" fontId="20" fillId="4" borderId="0" xfId="0" applyFont="1" applyFill="1" applyAlignment="1">
      <alignment vertical="center"/>
    </xf>
    <xf numFmtId="0" fontId="20" fillId="4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8" fillId="0" borderId="0" xfId="0" applyFont="1" applyAlignment="1">
      <alignment vertical="center"/>
    </xf>
    <xf numFmtId="0" fontId="59" fillId="8" borderId="5" xfId="0" applyFont="1" applyFill="1" applyBorder="1" applyAlignment="1">
      <alignment horizontal="center" vertical="center" wrapText="1" readingOrder="1"/>
    </xf>
    <xf numFmtId="164" fontId="59" fillId="8" borderId="5" xfId="0" applyNumberFormat="1" applyFont="1" applyFill="1" applyBorder="1" applyAlignment="1">
      <alignment horizontal="center" vertical="center" wrapText="1" readingOrder="1"/>
    </xf>
    <xf numFmtId="0" fontId="60" fillId="8" borderId="5" xfId="0" applyFont="1" applyFill="1" applyBorder="1" applyAlignment="1">
      <alignment horizontal="center" vertical="center" wrapText="1" readingOrder="1"/>
    </xf>
    <xf numFmtId="0" fontId="46" fillId="0" borderId="5" xfId="0" applyFont="1" applyBorder="1" applyAlignment="1">
      <alignment horizontal="center" vertical="center" wrapText="1" readingOrder="1"/>
    </xf>
    <xf numFmtId="0" fontId="46" fillId="4" borderId="17" xfId="0" applyFont="1" applyFill="1" applyBorder="1" applyAlignment="1">
      <alignment horizontal="center" vertical="center" wrapText="1" readingOrder="1"/>
    </xf>
    <xf numFmtId="0" fontId="46" fillId="4" borderId="5" xfId="0" applyFont="1" applyFill="1" applyBorder="1" applyAlignment="1">
      <alignment horizontal="center" vertical="center" wrapText="1" readingOrder="1"/>
    </xf>
    <xf numFmtId="164" fontId="58" fillId="0" borderId="5" xfId="0" applyNumberFormat="1" applyFont="1" applyBorder="1" applyAlignment="1">
      <alignment horizontal="center" vertical="center"/>
    </xf>
    <xf numFmtId="164" fontId="58" fillId="0" borderId="4" xfId="0" applyNumberFormat="1" applyFont="1" applyBorder="1" applyAlignment="1">
      <alignment horizontal="center" vertical="center"/>
    </xf>
    <xf numFmtId="0" fontId="51" fillId="0" borderId="17" xfId="0" applyFont="1" applyBorder="1" applyAlignment="1">
      <alignment horizontal="center" vertical="center" wrapText="1" readingOrder="1"/>
    </xf>
    <xf numFmtId="0" fontId="51" fillId="0" borderId="16" xfId="0" applyFont="1" applyBorder="1" applyAlignment="1">
      <alignment horizontal="center" vertical="center" wrapText="1" readingOrder="1"/>
    </xf>
    <xf numFmtId="0" fontId="51" fillId="0" borderId="5" xfId="0" applyFont="1" applyBorder="1" applyAlignment="1">
      <alignment horizontal="center" vertical="center" wrapText="1" readingOrder="1"/>
    </xf>
    <xf numFmtId="0" fontId="51" fillId="0" borderId="18" xfId="0" applyFont="1" applyBorder="1" applyAlignment="1">
      <alignment horizontal="center" vertical="center" wrapText="1" readingOrder="1"/>
    </xf>
    <xf numFmtId="0" fontId="51" fillId="0" borderId="19" xfId="0" applyFont="1" applyBorder="1" applyAlignment="1">
      <alignment horizontal="center" vertical="center" wrapText="1" readingOrder="1"/>
    </xf>
    <xf numFmtId="0" fontId="58" fillId="9" borderId="0" xfId="0" applyFont="1" applyFill="1" applyAlignment="1">
      <alignment horizontal="center" vertical="center"/>
    </xf>
    <xf numFmtId="14" fontId="45" fillId="6" borderId="12" xfId="0" applyNumberFormat="1" applyFont="1" applyFill="1" applyBorder="1"/>
    <xf numFmtId="14" fontId="45" fillId="6" borderId="13" xfId="0" applyNumberFormat="1" applyFont="1" applyFill="1" applyBorder="1"/>
    <xf numFmtId="14" fontId="54" fillId="6" borderId="13" xfId="0" applyNumberFormat="1" applyFont="1" applyFill="1" applyBorder="1"/>
    <xf numFmtId="4" fontId="62" fillId="6" borderId="13" xfId="0" applyNumberFormat="1" applyFont="1" applyFill="1" applyBorder="1" applyAlignment="1">
      <alignment horizontal="center" vertical="center"/>
    </xf>
    <xf numFmtId="14" fontId="45" fillId="0" borderId="0" xfId="0" applyNumberFormat="1" applyFont="1"/>
    <xf numFmtId="14" fontId="54" fillId="0" borderId="0" xfId="0" applyNumberFormat="1" applyFont="1"/>
    <xf numFmtId="0" fontId="45" fillId="0" borderId="0" xfId="0" applyFont="1" applyAlignment="1">
      <alignment horizontal="center"/>
    </xf>
    <xf numFmtId="0" fontId="45" fillId="0" borderId="0" xfId="0" applyFont="1"/>
    <xf numFmtId="4" fontId="62" fillId="0" borderId="0" xfId="0" applyNumberFormat="1" applyFont="1" applyAlignment="1">
      <alignment horizontal="center" vertical="center"/>
    </xf>
    <xf numFmtId="14" fontId="45" fillId="0" borderId="0" xfId="0" applyNumberFormat="1" applyFont="1" applyAlignment="1">
      <alignment horizontal="center"/>
    </xf>
    <xf numFmtId="14" fontId="45" fillId="0" borderId="15" xfId="0" applyNumberFormat="1" applyFont="1" applyBorder="1"/>
    <xf numFmtId="0" fontId="54" fillId="0" borderId="11" xfId="0" applyFont="1" applyBorder="1" applyAlignment="1">
      <alignment horizontal="left" wrapText="1"/>
    </xf>
    <xf numFmtId="0" fontId="45" fillId="3" borderId="6" xfId="0" applyFont="1" applyFill="1" applyBorder="1" applyAlignment="1">
      <alignment horizontal="center" vertical="center" wrapText="1"/>
    </xf>
    <xf numFmtId="0" fontId="45" fillId="3" borderId="5" xfId="0" applyFont="1" applyFill="1" applyBorder="1" applyAlignment="1">
      <alignment horizontal="center" vertical="center" wrapText="1"/>
    </xf>
    <xf numFmtId="0" fontId="45" fillId="3" borderId="5" xfId="0" applyFont="1" applyFill="1" applyBorder="1" applyAlignment="1">
      <alignment horizontal="center" vertical="center"/>
    </xf>
    <xf numFmtId="0" fontId="64" fillId="3" borderId="5" xfId="0" applyFont="1" applyFill="1" applyBorder="1" applyAlignment="1">
      <alignment horizontal="center" vertical="center" wrapText="1"/>
    </xf>
    <xf numFmtId="14" fontId="67" fillId="6" borderId="5" xfId="0" applyNumberFormat="1" applyFont="1" applyFill="1" applyBorder="1" applyAlignment="1">
      <alignment horizontal="left"/>
    </xf>
    <xf numFmtId="0" fontId="23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/>
    </xf>
    <xf numFmtId="164" fontId="23" fillId="0" borderId="5" xfId="1" applyNumberFormat="1" applyFont="1" applyFill="1" applyBorder="1" applyAlignment="1">
      <alignment horizontal="center" vertical="center"/>
    </xf>
    <xf numFmtId="7" fontId="23" fillId="0" borderId="5" xfId="0" applyNumberFormat="1" applyFont="1" applyBorder="1" applyAlignment="1">
      <alignment horizontal="center" vertical="center"/>
    </xf>
    <xf numFmtId="14" fontId="67" fillId="6" borderId="5" xfId="0" applyNumberFormat="1" applyFont="1" applyFill="1" applyBorder="1"/>
    <xf numFmtId="14" fontId="45" fillId="6" borderId="5" xfId="0" applyNumberFormat="1" applyFont="1" applyFill="1" applyBorder="1"/>
    <xf numFmtId="14" fontId="45" fillId="6" borderId="5" xfId="0" applyNumberFormat="1" applyFont="1" applyFill="1" applyBorder="1" applyAlignment="1">
      <alignment horizontal="center"/>
    </xf>
    <xf numFmtId="0" fontId="63" fillId="0" borderId="0" xfId="0" applyFont="1"/>
    <xf numFmtId="0" fontId="23" fillId="0" borderId="0" xfId="0" applyFont="1" applyAlignment="1">
      <alignment horizontal="center" vertical="center"/>
    </xf>
    <xf numFmtId="4" fontId="45" fillId="6" borderId="5" xfId="0" applyNumberFormat="1" applyFont="1" applyFill="1" applyBorder="1" applyAlignment="1">
      <alignment horizontal="left" vertical="center"/>
    </xf>
    <xf numFmtId="4" fontId="45" fillId="6" borderId="5" xfId="0" applyNumberFormat="1" applyFont="1" applyFill="1" applyBorder="1" applyAlignment="1">
      <alignment horizontal="center" vertical="center"/>
    </xf>
    <xf numFmtId="0" fontId="51" fillId="4" borderId="5" xfId="0" applyFont="1" applyFill="1" applyBorder="1" applyAlignment="1">
      <alignment horizontal="center" vertical="center" wrapText="1" readingOrder="1"/>
    </xf>
    <xf numFmtId="0" fontId="47" fillId="4" borderId="5" xfId="0" applyFont="1" applyFill="1" applyBorder="1" applyAlignment="1">
      <alignment horizontal="center" vertical="center" wrapText="1" readingOrder="1"/>
    </xf>
    <xf numFmtId="0" fontId="23" fillId="0" borderId="7" xfId="0" applyFont="1" applyBorder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0" fontId="47" fillId="0" borderId="5" xfId="0" applyFont="1" applyBorder="1" applyAlignment="1">
      <alignment horizontal="left" vertical="center"/>
    </xf>
    <xf numFmtId="164" fontId="51" fillId="0" borderId="5" xfId="1" applyNumberFormat="1" applyFont="1" applyFill="1" applyBorder="1" applyAlignment="1">
      <alignment horizontal="center" vertical="center"/>
    </xf>
    <xf numFmtId="0" fontId="46" fillId="0" borderId="5" xfId="0" applyFont="1" applyBorder="1" applyAlignment="1">
      <alignment horizontal="center"/>
    </xf>
    <xf numFmtId="1" fontId="18" fillId="11" borderId="9" xfId="0" applyNumberFormat="1" applyFont="1" applyFill="1" applyBorder="1" applyAlignment="1">
      <alignment horizontal="left" vertical="center"/>
    </xf>
    <xf numFmtId="0" fontId="68" fillId="11" borderId="5" xfId="0" applyFont="1" applyFill="1" applyBorder="1" applyAlignment="1">
      <alignment horizontal="right" vertical="center"/>
    </xf>
    <xf numFmtId="0" fontId="52" fillId="0" borderId="5" xfId="0" applyFont="1" applyBorder="1" applyAlignment="1">
      <alignment horizontal="center" vertical="center" wrapText="1" readingOrder="1"/>
    </xf>
    <xf numFmtId="0" fontId="59" fillId="0" borderId="5" xfId="0" applyFont="1" applyBorder="1" applyAlignment="1">
      <alignment horizontal="center" vertical="center" wrapText="1" readingOrder="1"/>
    </xf>
    <xf numFmtId="0" fontId="61" fillId="0" borderId="5" xfId="0" applyFont="1" applyBorder="1" applyAlignment="1">
      <alignment horizontal="center" vertical="center"/>
    </xf>
    <xf numFmtId="164" fontId="70" fillId="0" borderId="5" xfId="1" applyNumberFormat="1" applyFont="1" applyFill="1" applyBorder="1" applyAlignment="1"/>
    <xf numFmtId="164" fontId="70" fillId="0" borderId="5" xfId="0" applyNumberFormat="1" applyFont="1" applyBorder="1"/>
    <xf numFmtId="164" fontId="70" fillId="0" borderId="5" xfId="1" applyNumberFormat="1" applyFont="1" applyFill="1" applyBorder="1" applyAlignment="1">
      <alignment horizontal="right" vertical="center"/>
    </xf>
    <xf numFmtId="0" fontId="33" fillId="0" borderId="0" xfId="0" applyFont="1"/>
    <xf numFmtId="164" fontId="33" fillId="0" borderId="5" xfId="1" applyNumberFormat="1" applyFont="1" applyFill="1" applyBorder="1" applyAlignment="1">
      <alignment horizontal="right" vertical="center" wrapText="1"/>
    </xf>
    <xf numFmtId="0" fontId="42" fillId="0" borderId="5" xfId="0" applyFont="1" applyBorder="1" applyAlignment="1">
      <alignment horizontal="center" vertical="center"/>
    </xf>
    <xf numFmtId="164" fontId="54" fillId="4" borderId="5" xfId="1" applyNumberFormat="1" applyFont="1" applyFill="1" applyBorder="1" applyAlignment="1">
      <alignment horizontal="center" vertical="center"/>
    </xf>
    <xf numFmtId="164" fontId="61" fillId="0" borderId="5" xfId="0" applyNumberFormat="1" applyFont="1" applyBorder="1" applyAlignment="1">
      <alignment horizontal="center" vertical="center" wrapText="1" readingOrder="1"/>
    </xf>
    <xf numFmtId="0" fontId="61" fillId="0" borderId="5" xfId="0" applyFont="1" applyBorder="1" applyAlignment="1">
      <alignment horizontal="right" vertical="center" wrapText="1" readingOrder="1"/>
    </xf>
    <xf numFmtId="14" fontId="31" fillId="0" borderId="5" xfId="0" applyNumberFormat="1" applyFont="1" applyBorder="1"/>
    <xf numFmtId="14" fontId="3" fillId="0" borderId="5" xfId="0" applyNumberFormat="1" applyFont="1" applyBorder="1" applyAlignment="1">
      <alignment horizontal="center"/>
    </xf>
    <xf numFmtId="164" fontId="3" fillId="0" borderId="5" xfId="1" applyNumberFormat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5" xfId="0" applyFont="1" applyBorder="1"/>
    <xf numFmtId="0" fontId="5" fillId="4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64" fontId="5" fillId="0" borderId="5" xfId="1" applyNumberFormat="1" applyFont="1" applyFill="1" applyBorder="1" applyAlignment="1">
      <alignment horizontal="center" vertical="center"/>
    </xf>
    <xf numFmtId="0" fontId="48" fillId="0" borderId="0" xfId="0" applyFont="1" applyAlignment="1">
      <alignment vertical="center"/>
    </xf>
    <xf numFmtId="164" fontId="23" fillId="0" borderId="5" xfId="0" applyNumberFormat="1" applyFont="1" applyBorder="1" applyAlignment="1">
      <alignment horizontal="center" vertical="center"/>
    </xf>
    <xf numFmtId="0" fontId="46" fillId="4" borderId="19" xfId="0" applyFont="1" applyFill="1" applyBorder="1" applyAlignment="1">
      <alignment horizontal="center" vertical="center" wrapText="1" readingOrder="1"/>
    </xf>
    <xf numFmtId="0" fontId="46" fillId="0" borderId="4" xfId="0" applyFont="1" applyBorder="1" applyAlignment="1">
      <alignment horizontal="center" vertical="center" wrapText="1" readingOrder="1"/>
    </xf>
    <xf numFmtId="164" fontId="23" fillId="0" borderId="5" xfId="1" applyNumberFormat="1" applyFont="1" applyFill="1" applyBorder="1" applyAlignment="1">
      <alignment horizontal="right" vertical="center" wrapText="1"/>
    </xf>
    <xf numFmtId="1" fontId="21" fillId="0" borderId="9" xfId="0" applyNumberFormat="1" applyFont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164" fontId="48" fillId="0" borderId="5" xfId="1" applyNumberFormat="1" applyFont="1" applyFill="1" applyBorder="1" applyAlignment="1">
      <alignment horizontal="center" vertical="center"/>
    </xf>
    <xf numFmtId="0" fontId="48" fillId="4" borderId="5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wrapText="1"/>
    </xf>
    <xf numFmtId="0" fontId="19" fillId="0" borderId="9" xfId="0" applyFont="1" applyBorder="1" applyAlignment="1">
      <alignment horizontal="center" wrapText="1"/>
    </xf>
    <xf numFmtId="0" fontId="21" fillId="0" borderId="9" xfId="0" applyFont="1" applyBorder="1" applyAlignment="1">
      <alignment horizontal="center" wrapText="1"/>
    </xf>
    <xf numFmtId="164" fontId="48" fillId="0" borderId="5" xfId="0" applyNumberFormat="1" applyFont="1" applyBorder="1" applyAlignment="1">
      <alignment horizontal="center"/>
    </xf>
    <xf numFmtId="4" fontId="54" fillId="6" borderId="5" xfId="0" applyNumberFormat="1" applyFont="1" applyFill="1" applyBorder="1" applyAlignment="1">
      <alignment horizontal="center" vertical="center"/>
    </xf>
    <xf numFmtId="164" fontId="48" fillId="0" borderId="5" xfId="0" applyNumberFormat="1" applyFont="1" applyBorder="1" applyAlignment="1">
      <alignment horizontal="center" vertical="center"/>
    </xf>
    <xf numFmtId="7" fontId="48" fillId="0" borderId="5" xfId="0" applyNumberFormat="1" applyFont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48" fillId="0" borderId="0" xfId="0" applyFont="1"/>
    <xf numFmtId="4" fontId="25" fillId="7" borderId="13" xfId="0" applyNumberFormat="1" applyFont="1" applyFill="1" applyBorder="1" applyAlignment="1">
      <alignment horizontal="center" vertical="center"/>
    </xf>
    <xf numFmtId="4" fontId="25" fillId="7" borderId="14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14" fontId="2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0" fillId="5" borderId="0" xfId="0" applyFont="1" applyFill="1" applyAlignment="1">
      <alignment horizontal="left" vertical="top" wrapText="1"/>
    </xf>
    <xf numFmtId="0" fontId="71" fillId="4" borderId="0" xfId="0" applyFont="1" applyFill="1" applyAlignment="1">
      <alignment horizontal="left" vertical="top" wrapText="1"/>
    </xf>
    <xf numFmtId="0" fontId="39" fillId="9" borderId="11" xfId="0" applyFont="1" applyFill="1" applyBorder="1" applyAlignment="1">
      <alignment horizontal="left" vertical="top" wrapText="1"/>
    </xf>
    <xf numFmtId="0" fontId="0" fillId="9" borderId="11" xfId="0" applyFill="1" applyBorder="1" applyAlignment="1">
      <alignment horizontal="left" vertical="top" wrapText="1"/>
    </xf>
    <xf numFmtId="0" fontId="6" fillId="4" borderId="0" xfId="0" applyFont="1" applyFill="1" applyAlignment="1">
      <alignment horizontal="left" vertical="top" wrapText="1"/>
    </xf>
    <xf numFmtId="0" fontId="57" fillId="9" borderId="11" xfId="0" applyFont="1" applyFill="1" applyBorder="1" applyAlignment="1">
      <alignment horizontal="left" vertical="center" wrapText="1"/>
    </xf>
    <xf numFmtId="0" fontId="58" fillId="9" borderId="11" xfId="0" applyFont="1" applyFill="1" applyBorder="1" applyAlignment="1">
      <alignment horizontal="left" vertical="center" wrapText="1"/>
    </xf>
    <xf numFmtId="0" fontId="45" fillId="0" borderId="5" xfId="0" applyFont="1" applyBorder="1" applyAlignment="1">
      <alignment horizontal="center" vertical="center"/>
    </xf>
    <xf numFmtId="14" fontId="45" fillId="0" borderId="0" xfId="0" applyNumberFormat="1" applyFont="1" applyAlignment="1">
      <alignment horizontal="center"/>
    </xf>
    <xf numFmtId="4" fontId="63" fillId="7" borderId="13" xfId="0" applyNumberFormat="1" applyFont="1" applyFill="1" applyBorder="1" applyAlignment="1">
      <alignment horizontal="center" vertical="center"/>
    </xf>
    <xf numFmtId="4" fontId="63" fillId="7" borderId="14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49" fillId="9" borderId="11" xfId="0" applyFont="1" applyFill="1" applyBorder="1" applyAlignment="1">
      <alignment horizontal="left" vertical="center" wrapText="1"/>
    </xf>
    <xf numFmtId="0" fontId="56" fillId="12" borderId="0" xfId="4" applyFont="1" applyAlignment="1">
      <alignment horizontal="left" vertical="top" wrapText="1"/>
    </xf>
    <xf numFmtId="0" fontId="21" fillId="0" borderId="5" xfId="0" applyFont="1" applyBorder="1" applyAlignment="1">
      <alignment horizontal="center" vertical="center"/>
    </xf>
    <xf numFmtId="0" fontId="51" fillId="11" borderId="5" xfId="0" applyFont="1" applyFill="1" applyBorder="1" applyAlignment="1">
      <alignment horizontal="left" vertical="center"/>
    </xf>
    <xf numFmtId="164" fontId="50" fillId="11" borderId="5" xfId="1" applyNumberFormat="1" applyFont="1" applyFill="1" applyBorder="1" applyAlignment="1">
      <alignment horizontal="center" vertical="center"/>
    </xf>
  </cellXfs>
  <cellStyles count="5">
    <cellStyle name="Bad" xfId="4" builtinId="27"/>
    <cellStyle name="Currency" xfId="1" builtinId="4"/>
    <cellStyle name="Normal" xfId="0" builtinId="0"/>
    <cellStyle name="Normal 2" xfId="3" xr:uid="{926D8437-80E2-4446-8967-B228493C0E2B}"/>
    <cellStyle name="Normal 3 2" xfId="2" xr:uid="{00000000-0005-0000-0000-000002000000}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165763</xdr:colOff>
      <xdr:row>1</xdr:row>
      <xdr:rowOff>120649</xdr:rowOff>
    </xdr:from>
    <xdr:to>
      <xdr:col>3</xdr:col>
      <xdr:colOff>416956</xdr:colOff>
      <xdr:row>4</xdr:row>
      <xdr:rowOff>59530</xdr:rowOff>
    </xdr:to>
    <xdr:pic>
      <xdr:nvPicPr>
        <xdr:cNvPr id="2" name="Picture 13" descr="Claro Bolit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63" y="377824"/>
          <a:ext cx="1013193" cy="8247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840475</xdr:colOff>
      <xdr:row>4</xdr:row>
      <xdr:rowOff>93548</xdr:rowOff>
    </xdr:from>
    <xdr:to>
      <xdr:col>7</xdr:col>
      <xdr:colOff>765671</xdr:colOff>
      <xdr:row>7</xdr:row>
      <xdr:rowOff>254453</xdr:rowOff>
    </xdr:to>
    <xdr:pic>
      <xdr:nvPicPr>
        <xdr:cNvPr id="2" name="Picture 13" descr="Claro Bolita">
          <a:extLst>
            <a:ext uri="{FF2B5EF4-FFF2-40B4-BE49-F238E27FC236}">
              <a16:creationId xmlns:a16="http://schemas.microsoft.com/office/drawing/2014/main" id="{0D9CB8B7-E332-4139-BC64-7C63FB3E5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6275" y="93548"/>
          <a:ext cx="1049145" cy="1018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840475</xdr:colOff>
      <xdr:row>4</xdr:row>
      <xdr:rowOff>93548</xdr:rowOff>
    </xdr:from>
    <xdr:to>
      <xdr:col>7</xdr:col>
      <xdr:colOff>765672</xdr:colOff>
      <xdr:row>7</xdr:row>
      <xdr:rowOff>254640</xdr:rowOff>
    </xdr:to>
    <xdr:pic>
      <xdr:nvPicPr>
        <xdr:cNvPr id="3" name="Picture 13" descr="Claro Bolita">
          <a:extLst>
            <a:ext uri="{FF2B5EF4-FFF2-40B4-BE49-F238E27FC236}">
              <a16:creationId xmlns:a16="http://schemas.microsoft.com/office/drawing/2014/main" id="{B43406F9-1748-41F1-9FD1-D05D9AF03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41575" y="93548"/>
          <a:ext cx="1049146" cy="1018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73713</xdr:colOff>
      <xdr:row>0</xdr:row>
      <xdr:rowOff>114980</xdr:rowOff>
    </xdr:from>
    <xdr:to>
      <xdr:col>8</xdr:col>
      <xdr:colOff>1120477</xdr:colOff>
      <xdr:row>3</xdr:row>
      <xdr:rowOff>176213</xdr:rowOff>
    </xdr:to>
    <xdr:pic>
      <xdr:nvPicPr>
        <xdr:cNvPr id="3" name="Picture 13" descr="Claro Bolita">
          <a:extLst>
            <a:ext uri="{FF2B5EF4-FFF2-40B4-BE49-F238E27FC236}">
              <a16:creationId xmlns:a16="http://schemas.microsoft.com/office/drawing/2014/main" id="{EDF29376-D954-487D-9379-CB511AEE9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46713" y="114980"/>
          <a:ext cx="1046764" cy="847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73713</xdr:colOff>
      <xdr:row>0</xdr:row>
      <xdr:rowOff>114980</xdr:rowOff>
    </xdr:from>
    <xdr:to>
      <xdr:col>8</xdr:col>
      <xdr:colOff>1120477</xdr:colOff>
      <xdr:row>3</xdr:row>
      <xdr:rowOff>176213</xdr:rowOff>
    </xdr:to>
    <xdr:pic>
      <xdr:nvPicPr>
        <xdr:cNvPr id="2" name="Picture 13" descr="Claro Bolita">
          <a:extLst>
            <a:ext uri="{FF2B5EF4-FFF2-40B4-BE49-F238E27FC236}">
              <a16:creationId xmlns:a16="http://schemas.microsoft.com/office/drawing/2014/main" id="{1443B967-89F4-4FDD-8D7B-F9B6F5C02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75463" y="114980"/>
          <a:ext cx="1046764" cy="861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166687</xdr:colOff>
      <xdr:row>0</xdr:row>
      <xdr:rowOff>71437</xdr:rowOff>
    </xdr:from>
    <xdr:to>
      <xdr:col>4</xdr:col>
      <xdr:colOff>18863</xdr:colOff>
      <xdr:row>3</xdr:row>
      <xdr:rowOff>142875</xdr:rowOff>
    </xdr:to>
    <xdr:pic>
      <xdr:nvPicPr>
        <xdr:cNvPr id="2" name="Picture 13" descr="Claro Bolit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2137" y="71437"/>
          <a:ext cx="795151" cy="7381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159543</xdr:colOff>
      <xdr:row>0</xdr:row>
      <xdr:rowOff>59533</xdr:rowOff>
    </xdr:from>
    <xdr:to>
      <xdr:col>5</xdr:col>
      <xdr:colOff>95249</xdr:colOff>
      <xdr:row>3</xdr:row>
      <xdr:rowOff>160143</xdr:rowOff>
    </xdr:to>
    <xdr:pic>
      <xdr:nvPicPr>
        <xdr:cNvPr id="2" name="Picture 13" descr="Claro Bolit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1218" y="59533"/>
          <a:ext cx="869156" cy="824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159543</xdr:colOff>
      <xdr:row>0</xdr:row>
      <xdr:rowOff>59533</xdr:rowOff>
    </xdr:from>
    <xdr:to>
      <xdr:col>5</xdr:col>
      <xdr:colOff>95249</xdr:colOff>
      <xdr:row>3</xdr:row>
      <xdr:rowOff>93468</xdr:rowOff>
    </xdr:to>
    <xdr:pic>
      <xdr:nvPicPr>
        <xdr:cNvPr id="3" name="Picture 13" descr="Claro Bolit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1218" y="59533"/>
          <a:ext cx="869156" cy="824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158298</xdr:colOff>
      <xdr:row>5</xdr:row>
      <xdr:rowOff>111765</xdr:rowOff>
    </xdr:from>
    <xdr:to>
      <xdr:col>2</xdr:col>
      <xdr:colOff>19050</xdr:colOff>
      <xdr:row>5</xdr:row>
      <xdr:rowOff>720124</xdr:rowOff>
    </xdr:to>
    <xdr:pic>
      <xdr:nvPicPr>
        <xdr:cNvPr id="2" name="Picture 13" descr="Claro Bolit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298" y="1111890"/>
          <a:ext cx="727527" cy="608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158298</xdr:colOff>
      <xdr:row>5</xdr:row>
      <xdr:rowOff>111765</xdr:rowOff>
    </xdr:from>
    <xdr:to>
      <xdr:col>2</xdr:col>
      <xdr:colOff>19050</xdr:colOff>
      <xdr:row>5</xdr:row>
      <xdr:rowOff>720124</xdr:rowOff>
    </xdr:to>
    <xdr:pic>
      <xdr:nvPicPr>
        <xdr:cNvPr id="3" name="Picture 13" descr="Claro Bolita">
          <a:extLst>
            <a:ext uri="{FF2B5EF4-FFF2-40B4-BE49-F238E27FC236}">
              <a16:creationId xmlns:a16="http://schemas.microsoft.com/office/drawing/2014/main" id="{E05BD6D8-1A87-4C4B-8E2A-23C4D25C0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298" y="1111890"/>
          <a:ext cx="727527" cy="608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114193</xdr:colOff>
      <xdr:row>0</xdr:row>
      <xdr:rowOff>35719</xdr:rowOff>
    </xdr:from>
    <xdr:to>
      <xdr:col>8</xdr:col>
      <xdr:colOff>67963</xdr:colOff>
      <xdr:row>3</xdr:row>
      <xdr:rowOff>196965</xdr:rowOff>
    </xdr:to>
    <xdr:pic>
      <xdr:nvPicPr>
        <xdr:cNvPr id="2" name="Picture 13" descr="Claro Bolita">
          <a:extLst>
            <a:ext uri="{FF2B5EF4-FFF2-40B4-BE49-F238E27FC236}">
              <a16:creationId xmlns:a16="http://schemas.microsoft.com/office/drawing/2014/main" id="{57CB484D-8B76-4EAA-96D4-B29AA7653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77756" y="35719"/>
          <a:ext cx="1049145" cy="875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114193</xdr:colOff>
      <xdr:row>0</xdr:row>
      <xdr:rowOff>35719</xdr:rowOff>
    </xdr:from>
    <xdr:to>
      <xdr:col>8</xdr:col>
      <xdr:colOff>67963</xdr:colOff>
      <xdr:row>3</xdr:row>
      <xdr:rowOff>196965</xdr:rowOff>
    </xdr:to>
    <xdr:pic>
      <xdr:nvPicPr>
        <xdr:cNvPr id="3" name="Picture 13" descr="Claro Bolita">
          <a:extLst>
            <a:ext uri="{FF2B5EF4-FFF2-40B4-BE49-F238E27FC236}">
              <a16:creationId xmlns:a16="http://schemas.microsoft.com/office/drawing/2014/main" id="{44165281-0944-41D8-ACD3-6135B7B2B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01793" y="35719"/>
          <a:ext cx="1049145" cy="875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opLeftCell="A7" workbookViewId="0">
      <selection activeCell="F3" sqref="F3:O3"/>
    </sheetView>
  </sheetViews>
  <sheetFormatPr defaultColWidth="21.85546875" defaultRowHeight="15" x14ac:dyDescent="0.2"/>
  <cols>
    <col min="1" max="1" width="12.5703125" style="1" customWidth="1"/>
    <col min="2" max="2" width="11.5703125" style="1" hidden="1" customWidth="1"/>
    <col min="3" max="3" width="11.5703125" style="1" bestFit="1" customWidth="1"/>
    <col min="4" max="4" width="18.5703125" style="1" customWidth="1"/>
    <col min="5" max="5" width="48.85546875" style="1" customWidth="1"/>
    <col min="6" max="6" width="12.5703125" style="1" customWidth="1"/>
    <col min="7" max="15" width="12.140625" style="1" customWidth="1"/>
    <col min="16" max="16" width="12.140625" style="1" hidden="1" customWidth="1"/>
    <col min="17" max="17" width="12.140625" style="1" customWidth="1"/>
    <col min="18" max="46" width="21.85546875" style="1" customWidth="1"/>
    <col min="47" max="16384" width="21.85546875" style="1"/>
  </cols>
  <sheetData>
    <row r="1" spans="1:17" ht="20.25" x14ac:dyDescent="0.25">
      <c r="A1" s="27"/>
      <c r="B1" s="28"/>
      <c r="C1" s="28"/>
      <c r="D1" s="28"/>
      <c r="E1" s="29"/>
      <c r="F1" s="29"/>
      <c r="G1" s="29"/>
      <c r="H1" s="29"/>
      <c r="I1" s="241"/>
      <c r="J1" s="241"/>
      <c r="K1" s="241"/>
      <c r="L1" s="241"/>
      <c r="M1" s="241"/>
      <c r="N1" s="241"/>
      <c r="O1" s="241"/>
      <c r="P1" s="241"/>
      <c r="Q1" s="242"/>
    </row>
    <row r="2" spans="1:17" ht="23.25" x14ac:dyDescent="0.35">
      <c r="A2" s="30"/>
      <c r="B2" s="30"/>
      <c r="C2" s="30"/>
      <c r="D2" s="30"/>
      <c r="E2" s="31"/>
      <c r="F2" s="243" t="s">
        <v>81</v>
      </c>
      <c r="G2" s="243"/>
      <c r="H2" s="243"/>
      <c r="I2" s="243"/>
      <c r="J2" s="243"/>
      <c r="K2" s="243"/>
      <c r="L2" s="243"/>
      <c r="M2" s="243"/>
      <c r="N2" s="243"/>
      <c r="O2" s="243"/>
      <c r="P2" s="32"/>
      <c r="Q2" s="32"/>
    </row>
    <row r="3" spans="1:17" ht="23.25" x14ac:dyDescent="0.35">
      <c r="A3" s="30"/>
      <c r="B3" s="30"/>
      <c r="C3" s="30"/>
      <c r="D3" s="30"/>
      <c r="E3" s="31"/>
      <c r="F3" s="243" t="s">
        <v>124</v>
      </c>
      <c r="G3" s="243"/>
      <c r="H3" s="243"/>
      <c r="I3" s="243"/>
      <c r="J3" s="243"/>
      <c r="K3" s="243"/>
      <c r="L3" s="243"/>
      <c r="M3" s="243"/>
      <c r="N3" s="243"/>
      <c r="O3" s="243"/>
      <c r="P3" s="32"/>
      <c r="Q3" s="32"/>
    </row>
    <row r="4" spans="1:17" ht="23.25" x14ac:dyDescent="0.35">
      <c r="A4" s="30"/>
      <c r="B4" s="30"/>
      <c r="C4" s="30"/>
      <c r="D4" s="30"/>
      <c r="E4" s="31"/>
      <c r="F4" s="33"/>
      <c r="G4" s="244"/>
      <c r="H4" s="244"/>
      <c r="I4" s="244"/>
      <c r="J4" s="244"/>
      <c r="K4" s="244"/>
      <c r="L4" s="244"/>
      <c r="M4" s="244"/>
      <c r="N4" s="34"/>
      <c r="O4" s="34"/>
      <c r="P4" s="35"/>
      <c r="Q4" s="35"/>
    </row>
    <row r="5" spans="1:17" ht="18" x14ac:dyDescent="0.25">
      <c r="A5" s="36"/>
      <c r="B5" s="30"/>
      <c r="C5" s="30"/>
      <c r="D5" s="30"/>
      <c r="E5" s="31"/>
      <c r="F5" s="7"/>
      <c r="G5" s="7"/>
      <c r="H5" s="7"/>
      <c r="I5" s="8"/>
      <c r="J5" s="8"/>
      <c r="K5" s="8"/>
      <c r="L5" s="8"/>
      <c r="M5" s="8"/>
      <c r="N5" s="8"/>
      <c r="O5" s="8"/>
      <c r="P5" s="8"/>
      <c r="Q5" s="8"/>
    </row>
    <row r="6" spans="1:17" ht="75" x14ac:dyDescent="0.25">
      <c r="A6" s="245" t="s">
        <v>41</v>
      </c>
      <c r="B6" s="245"/>
      <c r="C6" s="245"/>
      <c r="D6" s="245"/>
      <c r="E6" s="245"/>
      <c r="F6" s="55" t="s">
        <v>82</v>
      </c>
      <c r="G6" s="13" t="s">
        <v>43</v>
      </c>
      <c r="H6" s="13" t="s">
        <v>44</v>
      </c>
      <c r="I6" s="13" t="s">
        <v>45</v>
      </c>
      <c r="J6" s="13" t="s">
        <v>46</v>
      </c>
      <c r="K6" s="13" t="s">
        <v>47</v>
      </c>
      <c r="L6" s="13" t="s">
        <v>48</v>
      </c>
      <c r="M6" s="13" t="s">
        <v>49</v>
      </c>
      <c r="N6" s="13" t="s">
        <v>50</v>
      </c>
      <c r="O6" s="13" t="s">
        <v>51</v>
      </c>
      <c r="P6" s="13" t="s">
        <v>52</v>
      </c>
      <c r="Q6" s="13" t="s">
        <v>53</v>
      </c>
    </row>
    <row r="7" spans="1:17" ht="60" x14ac:dyDescent="0.2">
      <c r="A7" s="37" t="s">
        <v>54</v>
      </c>
      <c r="B7" s="38" t="s">
        <v>1</v>
      </c>
      <c r="C7" s="13" t="s">
        <v>2</v>
      </c>
      <c r="D7" s="12" t="s">
        <v>3</v>
      </c>
      <c r="E7" s="37" t="s">
        <v>4</v>
      </c>
      <c r="F7" s="39" t="s">
        <v>83</v>
      </c>
      <c r="G7" s="39" t="s">
        <v>84</v>
      </c>
      <c r="H7" s="39" t="s">
        <v>85</v>
      </c>
      <c r="I7" s="39" t="s">
        <v>86</v>
      </c>
      <c r="J7" s="39" t="s">
        <v>87</v>
      </c>
      <c r="K7" s="39" t="s">
        <v>88</v>
      </c>
      <c r="L7" s="39" t="s">
        <v>89</v>
      </c>
      <c r="M7" s="39" t="s">
        <v>90</v>
      </c>
      <c r="N7" s="39" t="s">
        <v>91</v>
      </c>
      <c r="O7" s="39" t="s">
        <v>92</v>
      </c>
      <c r="P7" s="39" t="s">
        <v>93</v>
      </c>
      <c r="Q7" s="39" t="s">
        <v>94</v>
      </c>
    </row>
    <row r="8" spans="1:17" s="47" customFormat="1" ht="15.75" x14ac:dyDescent="0.25">
      <c r="A8" s="48" t="s">
        <v>56</v>
      </c>
      <c r="B8" s="43">
        <v>50594</v>
      </c>
      <c r="C8" s="52"/>
      <c r="D8" s="52"/>
      <c r="E8" s="42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</row>
    <row r="9" spans="1:17" s="47" customFormat="1" ht="15" customHeight="1" x14ac:dyDescent="0.2">
      <c r="A9" s="51" t="s">
        <v>61</v>
      </c>
      <c r="B9" s="51">
        <v>50897</v>
      </c>
      <c r="C9" s="44" t="s">
        <v>62</v>
      </c>
      <c r="D9" s="44" t="s">
        <v>63</v>
      </c>
      <c r="E9" s="51" t="s">
        <v>64</v>
      </c>
      <c r="F9" s="53">
        <v>50</v>
      </c>
      <c r="G9" s="53">
        <v>39.99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</row>
    <row r="10" spans="1:17" ht="15.75" x14ac:dyDescent="0.25">
      <c r="A10" s="41" t="s">
        <v>65</v>
      </c>
      <c r="B10" s="42"/>
      <c r="C10" s="52"/>
      <c r="D10" s="52"/>
      <c r="E10" s="42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</row>
    <row r="11" spans="1:17" x14ac:dyDescent="0.2">
      <c r="A11" s="43" t="s">
        <v>55</v>
      </c>
      <c r="B11" s="43">
        <v>50610</v>
      </c>
      <c r="C11" s="43" t="s">
        <v>72</v>
      </c>
      <c r="D11" s="43" t="s">
        <v>73</v>
      </c>
      <c r="E11" s="43" t="s">
        <v>74</v>
      </c>
      <c r="F11" s="45" t="s">
        <v>95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</row>
    <row r="12" spans="1:17" x14ac:dyDescent="0.2">
      <c r="A12" s="43" t="s">
        <v>55</v>
      </c>
      <c r="B12" s="43">
        <v>50638</v>
      </c>
      <c r="C12" s="43" t="s">
        <v>69</v>
      </c>
      <c r="D12" s="43" t="s">
        <v>70</v>
      </c>
      <c r="E12" s="43" t="s">
        <v>71</v>
      </c>
      <c r="F12" s="45" t="s">
        <v>95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</row>
    <row r="13" spans="1:17" x14ac:dyDescent="0.2">
      <c r="A13" s="43" t="s">
        <v>55</v>
      </c>
      <c r="B13" s="43">
        <v>50612</v>
      </c>
      <c r="C13" s="43" t="s">
        <v>66</v>
      </c>
      <c r="D13" s="43" t="s">
        <v>67</v>
      </c>
      <c r="E13" s="43" t="s">
        <v>68</v>
      </c>
      <c r="F13" s="45" t="s">
        <v>95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Q13" s="45">
        <v>0</v>
      </c>
    </row>
    <row r="14" spans="1:17" hidden="1" x14ac:dyDescent="0.2">
      <c r="A14" s="43" t="s">
        <v>57</v>
      </c>
      <c r="B14" s="43">
        <v>50767</v>
      </c>
      <c r="C14" s="43" t="s">
        <v>96</v>
      </c>
      <c r="D14" s="43" t="s">
        <v>97</v>
      </c>
      <c r="E14" s="43" t="s">
        <v>98</v>
      </c>
      <c r="F14" s="45" t="s">
        <v>95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</row>
    <row r="15" spans="1:17" hidden="1" x14ac:dyDescent="0.2">
      <c r="A15" s="43" t="s">
        <v>57</v>
      </c>
      <c r="B15" s="43">
        <v>50631</v>
      </c>
      <c r="C15" s="43" t="s">
        <v>99</v>
      </c>
      <c r="D15" s="43" t="s">
        <v>100</v>
      </c>
      <c r="E15" s="43" t="s">
        <v>101</v>
      </c>
      <c r="F15" s="45" t="s">
        <v>95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</row>
    <row r="16" spans="1:17" hidden="1" x14ac:dyDescent="0.2">
      <c r="A16" s="43" t="s">
        <v>57</v>
      </c>
      <c r="B16" s="43">
        <v>50766</v>
      </c>
      <c r="C16" s="43" t="s">
        <v>102</v>
      </c>
      <c r="D16" s="43" t="s">
        <v>103</v>
      </c>
      <c r="E16" s="43" t="s">
        <v>104</v>
      </c>
      <c r="F16" s="45" t="s">
        <v>95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</row>
    <row r="17" spans="1:19" ht="15.75" hidden="1" customHeight="1" x14ac:dyDescent="0.2">
      <c r="A17" s="43" t="s">
        <v>57</v>
      </c>
      <c r="B17" s="43">
        <v>50632</v>
      </c>
      <c r="C17" s="43" t="s">
        <v>105</v>
      </c>
      <c r="D17" s="43" t="s">
        <v>106</v>
      </c>
      <c r="E17" s="43" t="s">
        <v>107</v>
      </c>
      <c r="F17" s="45" t="s">
        <v>95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</row>
    <row r="18" spans="1:19" s="50" customFormat="1" ht="15.75" x14ac:dyDescent="0.25">
      <c r="A18" s="43" t="s">
        <v>57</v>
      </c>
      <c r="B18" s="43">
        <v>50594</v>
      </c>
      <c r="C18" s="43" t="s">
        <v>58</v>
      </c>
      <c r="D18" s="43" t="s">
        <v>59</v>
      </c>
      <c r="E18" s="43" t="s">
        <v>60</v>
      </c>
      <c r="F18" s="45" t="s">
        <v>95</v>
      </c>
      <c r="G18" s="45">
        <v>50</v>
      </c>
      <c r="H18" s="45">
        <v>44.99</v>
      </c>
      <c r="I18" s="46">
        <v>39.99</v>
      </c>
      <c r="J18" s="46">
        <v>29.99</v>
      </c>
      <c r="K18" s="46">
        <v>0</v>
      </c>
      <c r="L18" s="46">
        <v>0</v>
      </c>
      <c r="M18" s="46">
        <v>0</v>
      </c>
      <c r="N18" s="46">
        <v>0</v>
      </c>
      <c r="O18" s="46">
        <v>0</v>
      </c>
      <c r="P18" s="46">
        <v>0</v>
      </c>
      <c r="Q18" s="46">
        <v>0</v>
      </c>
      <c r="S18" s="49"/>
    </row>
    <row r="19" spans="1:19" s="50" customFormat="1" ht="15.75" x14ac:dyDescent="0.25">
      <c r="A19" s="43" t="s">
        <v>57</v>
      </c>
      <c r="B19" s="43">
        <v>50846</v>
      </c>
      <c r="C19" s="43" t="s">
        <v>75</v>
      </c>
      <c r="D19" s="43" t="s">
        <v>76</v>
      </c>
      <c r="E19" s="43" t="s">
        <v>77</v>
      </c>
      <c r="F19" s="45" t="s">
        <v>95</v>
      </c>
      <c r="G19" s="45">
        <v>0</v>
      </c>
      <c r="H19" s="45">
        <v>0</v>
      </c>
      <c r="I19" s="45">
        <v>0</v>
      </c>
      <c r="J19" s="45">
        <v>0</v>
      </c>
      <c r="K19" s="46">
        <v>0</v>
      </c>
      <c r="L19" s="46">
        <v>0</v>
      </c>
      <c r="M19" s="46">
        <v>0</v>
      </c>
      <c r="N19" s="46">
        <v>0</v>
      </c>
      <c r="O19" s="46">
        <v>0</v>
      </c>
      <c r="P19" s="46">
        <v>0</v>
      </c>
      <c r="Q19" s="46">
        <v>0</v>
      </c>
      <c r="R19" s="50">
        <v>0</v>
      </c>
      <c r="S19" s="49">
        <v>0</v>
      </c>
    </row>
    <row r="20" spans="1:19" s="50" customFormat="1" ht="15.75" x14ac:dyDescent="0.25">
      <c r="A20" s="43" t="s">
        <v>57</v>
      </c>
      <c r="B20" s="43">
        <v>50894</v>
      </c>
      <c r="C20" s="43" t="s">
        <v>78</v>
      </c>
      <c r="D20" s="43" t="s">
        <v>79</v>
      </c>
      <c r="E20" s="43" t="s">
        <v>80</v>
      </c>
      <c r="F20" s="45" t="s">
        <v>95</v>
      </c>
      <c r="G20" s="45">
        <v>0</v>
      </c>
      <c r="H20" s="45">
        <v>0</v>
      </c>
      <c r="I20" s="45">
        <v>0</v>
      </c>
      <c r="J20" s="45">
        <v>0</v>
      </c>
      <c r="K20" s="46">
        <v>0</v>
      </c>
      <c r="L20" s="46">
        <v>0</v>
      </c>
      <c r="M20" s="46">
        <v>0</v>
      </c>
      <c r="N20" s="46">
        <v>0</v>
      </c>
      <c r="O20" s="46">
        <v>0</v>
      </c>
      <c r="P20" s="46">
        <v>0</v>
      </c>
      <c r="Q20" s="46">
        <v>0</v>
      </c>
      <c r="R20" s="50">
        <v>0</v>
      </c>
      <c r="S20" s="49">
        <v>0</v>
      </c>
    </row>
    <row r="25" spans="1:19" x14ac:dyDescent="0.2">
      <c r="D25" s="1" t="s">
        <v>108</v>
      </c>
    </row>
  </sheetData>
  <sheetProtection algorithmName="SHA-512" hashValue="NyHir3+avXEFpz/OgUG6QTpPL+3xYiN/ikQKn5hkEJu+q7do3bnhnPg5mXafnUL7bogECGWfim1gn1Je8T79tg==" saltValue="ElBVIqWcH5kPsilJqL+ieg==" spinCount="100000" sheet="1" objects="1" scenarios="1"/>
  <mergeCells count="5">
    <mergeCell ref="I1:Q1"/>
    <mergeCell ref="F2:O2"/>
    <mergeCell ref="F3:O3"/>
    <mergeCell ref="G4:M4"/>
    <mergeCell ref="A6:E6"/>
  </mergeCells>
  <conditionalFormatting sqref="B7">
    <cfRule type="duplicateValues" dxfId="121" priority="7"/>
  </conditionalFormatting>
  <conditionalFormatting sqref="B9">
    <cfRule type="duplicateValues" dxfId="120" priority="3"/>
  </conditionalFormatting>
  <conditionalFormatting sqref="B12:B17">
    <cfRule type="duplicateValues" dxfId="119" priority="11"/>
  </conditionalFormatting>
  <conditionalFormatting sqref="B18">
    <cfRule type="duplicateValues" dxfId="118" priority="8"/>
  </conditionalFormatting>
  <conditionalFormatting sqref="B19:B20">
    <cfRule type="duplicateValues" dxfId="117" priority="5"/>
  </conditionalFormatting>
  <conditionalFormatting sqref="B21:B1048576 B1:B6 B8 B10:B11">
    <cfRule type="duplicateValues" dxfId="116" priority="9"/>
  </conditionalFormatting>
  <conditionalFormatting sqref="C9">
    <cfRule type="duplicateValues" dxfId="115" priority="2"/>
  </conditionalFormatting>
  <conditionalFormatting sqref="C8:D8">
    <cfRule type="duplicateValues" dxfId="114" priority="4"/>
  </conditionalFormatting>
  <conditionalFormatting sqref="C19:D20">
    <cfRule type="duplicateValues" dxfId="113" priority="6"/>
  </conditionalFormatting>
  <conditionalFormatting sqref="C21:D1048576 C1:D6 C10:D18">
    <cfRule type="duplicateValues" dxfId="112" priority="10"/>
  </conditionalFormatting>
  <conditionalFormatting sqref="D9">
    <cfRule type="duplicateValues" dxfId="111" priority="1"/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85707-1B0B-44CA-AEAA-949659E5D29E}">
  <dimension ref="A1:H77"/>
  <sheetViews>
    <sheetView tabSelected="1" topLeftCell="A5" zoomScale="102" zoomScaleNormal="95" workbookViewId="0">
      <selection activeCell="C82" sqref="C82"/>
    </sheetView>
  </sheetViews>
  <sheetFormatPr defaultColWidth="9.140625" defaultRowHeight="15" x14ac:dyDescent="0.25"/>
  <cols>
    <col min="1" max="1" width="17" style="19" customWidth="1"/>
    <col min="2" max="2" width="19.140625" style="19" customWidth="1"/>
    <col min="3" max="3" width="70.42578125" style="24" customWidth="1"/>
    <col min="4" max="4" width="18" style="19" customWidth="1"/>
    <col min="5" max="5" width="21.7109375" style="19" customWidth="1"/>
    <col min="6" max="6" width="16.5703125" style="19" bestFit="1" customWidth="1"/>
    <col min="7" max="7" width="16.85546875" style="19" bestFit="1" customWidth="1"/>
    <col min="8" max="8" width="16.5703125" style="19" bestFit="1" customWidth="1"/>
    <col min="9" max="16384" width="9.140625" style="19"/>
  </cols>
  <sheetData>
    <row r="1" spans="1:8" hidden="1" x14ac:dyDescent="0.25">
      <c r="A1" s="74" t="s">
        <v>109</v>
      </c>
      <c r="B1" s="74"/>
      <c r="C1" s="19"/>
      <c r="D1" s="58"/>
      <c r="E1" s="58"/>
      <c r="F1" s="58"/>
    </row>
    <row r="2" spans="1:8" hidden="1" x14ac:dyDescent="0.25">
      <c r="A2" s="75" t="s">
        <v>312</v>
      </c>
      <c r="B2" s="76"/>
      <c r="C2" s="19"/>
      <c r="D2" s="77"/>
      <c r="E2" s="77"/>
      <c r="F2" s="77"/>
    </row>
    <row r="3" spans="1:8" ht="25.5" hidden="1" customHeight="1" x14ac:dyDescent="0.25">
      <c r="A3" s="246" t="s">
        <v>110</v>
      </c>
      <c r="B3" s="246"/>
      <c r="C3" s="246"/>
      <c r="D3" s="78"/>
      <c r="E3" s="79"/>
      <c r="F3" s="79"/>
      <c r="G3" s="79"/>
      <c r="H3" s="79"/>
    </row>
    <row r="4" spans="1:8" ht="21.75" hidden="1" customHeight="1" x14ac:dyDescent="0.25">
      <c r="A4" s="80"/>
      <c r="B4" s="80"/>
      <c r="C4" s="80"/>
      <c r="D4" s="111"/>
      <c r="E4" s="80"/>
      <c r="F4" s="80"/>
      <c r="G4" s="80"/>
      <c r="H4" s="80"/>
    </row>
    <row r="5" spans="1:8" ht="21" x14ac:dyDescent="0.35">
      <c r="A5" s="57" t="s">
        <v>811</v>
      </c>
      <c r="B5" s="57"/>
      <c r="C5" s="58"/>
      <c r="D5" s="58"/>
      <c r="E5" s="58"/>
      <c r="F5" s="58"/>
      <c r="G5" s="58"/>
      <c r="H5" s="58"/>
    </row>
    <row r="6" spans="1:8" ht="21" x14ac:dyDescent="0.25">
      <c r="A6" s="103" t="s">
        <v>895</v>
      </c>
      <c r="B6" s="85"/>
      <c r="C6" s="58"/>
      <c r="D6" s="86"/>
      <c r="E6" s="58"/>
      <c r="F6" s="58"/>
      <c r="G6" s="58"/>
      <c r="H6" s="58"/>
    </row>
    <row r="7" spans="1:8" ht="25.5" customHeight="1" x14ac:dyDescent="0.25">
      <c r="A7" s="247" t="s">
        <v>812</v>
      </c>
      <c r="B7" s="247"/>
      <c r="C7" s="247"/>
      <c r="D7" s="247"/>
      <c r="E7" s="87"/>
      <c r="F7" s="87"/>
      <c r="G7" s="58"/>
      <c r="H7" s="58"/>
    </row>
    <row r="8" spans="1:8" ht="21.75" customHeight="1" x14ac:dyDescent="0.25">
      <c r="A8" s="88"/>
      <c r="B8" s="88"/>
      <c r="C8" s="88"/>
      <c r="D8" s="112"/>
      <c r="E8" s="88"/>
      <c r="F8" s="88"/>
      <c r="G8" s="88"/>
      <c r="H8" s="88"/>
    </row>
    <row r="9" spans="1:8" ht="21.75" customHeight="1" x14ac:dyDescent="0.25">
      <c r="A9" s="248" t="s">
        <v>511</v>
      </c>
      <c r="B9" s="249"/>
      <c r="C9" s="249"/>
      <c r="D9" s="249"/>
      <c r="E9" s="88"/>
      <c r="F9" s="88"/>
      <c r="G9" s="88"/>
      <c r="H9" s="88"/>
    </row>
    <row r="10" spans="1:8" s="81" customFormat="1" ht="60" customHeight="1" x14ac:dyDescent="0.25">
      <c r="A10" s="59" t="s">
        <v>111</v>
      </c>
      <c r="B10" s="59" t="s">
        <v>3</v>
      </c>
      <c r="C10" s="60" t="s">
        <v>112</v>
      </c>
      <c r="D10" s="83" t="s">
        <v>814</v>
      </c>
      <c r="E10" s="60" t="s">
        <v>514</v>
      </c>
      <c r="F10" s="60" t="s">
        <v>114</v>
      </c>
      <c r="G10" s="60" t="s">
        <v>115</v>
      </c>
      <c r="H10" s="60" t="s">
        <v>116</v>
      </c>
    </row>
    <row r="11" spans="1:8" s="82" customFormat="1" ht="16.5" customHeight="1" x14ac:dyDescent="0.25">
      <c r="A11" s="199"/>
      <c r="B11" s="199"/>
      <c r="C11" s="200" t="s">
        <v>721</v>
      </c>
      <c r="D11" s="210" t="s">
        <v>538</v>
      </c>
      <c r="E11" s="209" t="s">
        <v>813</v>
      </c>
      <c r="F11" s="209" t="s">
        <v>314</v>
      </c>
      <c r="G11" s="209" t="s">
        <v>512</v>
      </c>
      <c r="H11" s="209" t="s">
        <v>510</v>
      </c>
    </row>
    <row r="12" spans="1:8" s="207" customFormat="1" ht="15.75" x14ac:dyDescent="0.25">
      <c r="A12" s="227" t="s">
        <v>896</v>
      </c>
      <c r="B12" s="227">
        <v>7013460</v>
      </c>
      <c r="C12" s="239" t="s">
        <v>897</v>
      </c>
      <c r="D12" s="110">
        <v>119.99</v>
      </c>
      <c r="E12" s="126">
        <f t="shared" ref="E12:E14" si="0">D12/20</f>
        <v>5.9994999999999994</v>
      </c>
      <c r="F12" s="126">
        <f t="shared" ref="F12:F14" si="1">D12/24</f>
        <v>4.9995833333333328</v>
      </c>
      <c r="G12" s="127">
        <f t="shared" ref="G12:G14" si="2">D12/30</f>
        <v>3.9996666666666667</v>
      </c>
      <c r="H12" s="128">
        <f t="shared" ref="H12:H14" si="3">D12/36</f>
        <v>3.3330555555555552</v>
      </c>
    </row>
    <row r="13" spans="1:8" s="207" customFormat="1" ht="15.75" x14ac:dyDescent="0.25">
      <c r="A13" s="227" t="s">
        <v>898</v>
      </c>
      <c r="B13" s="227">
        <v>7013461</v>
      </c>
      <c r="C13" s="239" t="s">
        <v>899</v>
      </c>
      <c r="D13" s="110">
        <v>119.99</v>
      </c>
      <c r="E13" s="126">
        <f t="shared" si="0"/>
        <v>5.9994999999999994</v>
      </c>
      <c r="F13" s="126">
        <f t="shared" si="1"/>
        <v>4.9995833333333328</v>
      </c>
      <c r="G13" s="127">
        <f t="shared" si="2"/>
        <v>3.9996666666666667</v>
      </c>
      <c r="H13" s="128">
        <f t="shared" si="3"/>
        <v>3.3330555555555552</v>
      </c>
    </row>
    <row r="14" spans="1:8" s="89" customFormat="1" ht="15.75" x14ac:dyDescent="0.25">
      <c r="A14" s="227" t="s">
        <v>900</v>
      </c>
      <c r="B14" s="227">
        <v>7013462</v>
      </c>
      <c r="C14" s="239" t="s">
        <v>901</v>
      </c>
      <c r="D14" s="110">
        <v>119.99</v>
      </c>
      <c r="E14" s="126">
        <f t="shared" si="0"/>
        <v>5.9994999999999994</v>
      </c>
      <c r="F14" s="126">
        <f t="shared" si="1"/>
        <v>4.9995833333333328</v>
      </c>
      <c r="G14" s="127">
        <f t="shared" si="2"/>
        <v>3.9996666666666667</v>
      </c>
      <c r="H14" s="128">
        <f t="shared" si="3"/>
        <v>3.3330555555555552</v>
      </c>
    </row>
    <row r="15" spans="1:8" s="89" customFormat="1" ht="15.75" x14ac:dyDescent="0.25">
      <c r="A15" s="15" t="s">
        <v>877</v>
      </c>
      <c r="B15" s="15">
        <v>7013259</v>
      </c>
      <c r="C15" s="228" t="s">
        <v>878</v>
      </c>
      <c r="D15" s="226">
        <v>149.99</v>
      </c>
      <c r="E15" s="105">
        <f t="shared" ref="E15:E17" si="4">D15/20</f>
        <v>7.4995000000000003</v>
      </c>
      <c r="F15" s="105">
        <f t="shared" ref="F15:F17" si="5">D15/24</f>
        <v>6.2495833333333337</v>
      </c>
      <c r="G15" s="104">
        <f t="shared" ref="G15:G17" si="6">D15/30</f>
        <v>4.9996666666666671</v>
      </c>
      <c r="H15" s="106">
        <f t="shared" ref="H15:H17" si="7">D15/36</f>
        <v>4.1663888888888891</v>
      </c>
    </row>
    <row r="16" spans="1:8" s="89" customFormat="1" ht="15.75" x14ac:dyDescent="0.25">
      <c r="A16" s="15" t="s">
        <v>902</v>
      </c>
      <c r="B16" s="15">
        <v>7013072</v>
      </c>
      <c r="C16" s="228" t="s">
        <v>903</v>
      </c>
      <c r="D16" s="226">
        <v>199.99</v>
      </c>
      <c r="E16" s="105">
        <f t="shared" si="4"/>
        <v>9.9995000000000012</v>
      </c>
      <c r="F16" s="105">
        <f t="shared" si="5"/>
        <v>8.3329166666666676</v>
      </c>
      <c r="G16" s="104">
        <f t="shared" si="6"/>
        <v>6.6663333333333332</v>
      </c>
      <c r="H16" s="106">
        <f t="shared" si="7"/>
        <v>5.5552777777777784</v>
      </c>
    </row>
    <row r="17" spans="1:8" s="89" customFormat="1" ht="15.75" x14ac:dyDescent="0.25">
      <c r="A17" s="15" t="s">
        <v>904</v>
      </c>
      <c r="B17" s="15">
        <v>7013073</v>
      </c>
      <c r="C17" s="228" t="s">
        <v>905</v>
      </c>
      <c r="D17" s="226">
        <v>199.99</v>
      </c>
      <c r="E17" s="105">
        <f t="shared" si="4"/>
        <v>9.9995000000000012</v>
      </c>
      <c r="F17" s="105">
        <f t="shared" si="5"/>
        <v>8.3329166666666676</v>
      </c>
      <c r="G17" s="104">
        <f t="shared" si="6"/>
        <v>6.6663333333333332</v>
      </c>
      <c r="H17" s="106">
        <f t="shared" si="7"/>
        <v>5.5552777777777784</v>
      </c>
    </row>
    <row r="18" spans="1:8" s="89" customFormat="1" ht="14.25" customHeight="1" x14ac:dyDescent="0.25">
      <c r="A18" s="15" t="s">
        <v>833</v>
      </c>
      <c r="B18" s="15">
        <v>7013135</v>
      </c>
      <c r="C18" s="92" t="s">
        <v>834</v>
      </c>
      <c r="D18" s="226">
        <v>259.99</v>
      </c>
      <c r="E18" s="105">
        <f t="shared" ref="E18:E23" si="8">D18/20</f>
        <v>12.999500000000001</v>
      </c>
      <c r="F18" s="105">
        <f t="shared" ref="F18:F23" si="9">D18/24</f>
        <v>10.832916666666668</v>
      </c>
      <c r="G18" s="104">
        <f t="shared" ref="G18:G23" si="10">D18/30</f>
        <v>8.6663333333333341</v>
      </c>
      <c r="H18" s="106">
        <f t="shared" ref="H18:H23" si="11">D18/36</f>
        <v>7.2219444444444445</v>
      </c>
    </row>
    <row r="19" spans="1:8" s="89" customFormat="1" ht="15.75" x14ac:dyDescent="0.25">
      <c r="A19" s="15" t="s">
        <v>879</v>
      </c>
      <c r="B19" s="15">
        <v>7013260</v>
      </c>
      <c r="C19" s="92" t="s">
        <v>880</v>
      </c>
      <c r="D19" s="226">
        <v>279.99</v>
      </c>
      <c r="E19" s="105">
        <f t="shared" si="8"/>
        <v>13.999500000000001</v>
      </c>
      <c r="F19" s="105">
        <f t="shared" si="9"/>
        <v>11.66625</v>
      </c>
      <c r="G19" s="104">
        <f t="shared" si="10"/>
        <v>9.3330000000000002</v>
      </c>
      <c r="H19" s="106">
        <f t="shared" si="11"/>
        <v>7.7774999999999999</v>
      </c>
    </row>
    <row r="20" spans="1:8" s="89" customFormat="1" ht="15.75" x14ac:dyDescent="0.25">
      <c r="A20" s="15" t="s">
        <v>881</v>
      </c>
      <c r="B20" s="15">
        <v>7013261</v>
      </c>
      <c r="C20" s="92" t="s">
        <v>882</v>
      </c>
      <c r="D20" s="226">
        <v>279.99</v>
      </c>
      <c r="E20" s="105">
        <f t="shared" si="8"/>
        <v>13.999500000000001</v>
      </c>
      <c r="F20" s="105">
        <f t="shared" si="9"/>
        <v>11.66625</v>
      </c>
      <c r="G20" s="104">
        <f t="shared" si="10"/>
        <v>9.3330000000000002</v>
      </c>
      <c r="H20" s="106">
        <f t="shared" si="11"/>
        <v>7.7774999999999999</v>
      </c>
    </row>
    <row r="21" spans="1:8" s="207" customFormat="1" ht="15.75" x14ac:dyDescent="0.25">
      <c r="A21" s="14" t="s">
        <v>836</v>
      </c>
      <c r="B21" s="14">
        <v>7013131</v>
      </c>
      <c r="C21" s="232" t="s">
        <v>837</v>
      </c>
      <c r="D21" s="208">
        <v>349.99</v>
      </c>
      <c r="E21" s="204">
        <f t="shared" si="8"/>
        <v>17.499500000000001</v>
      </c>
      <c r="F21" s="204">
        <f t="shared" si="9"/>
        <v>14.582916666666668</v>
      </c>
      <c r="G21" s="205">
        <f t="shared" si="10"/>
        <v>11.666333333333334</v>
      </c>
      <c r="H21" s="206">
        <f t="shared" si="11"/>
        <v>9.7219444444444445</v>
      </c>
    </row>
    <row r="22" spans="1:8" s="207" customFormat="1" ht="15.75" x14ac:dyDescent="0.25">
      <c r="A22" s="14" t="s">
        <v>838</v>
      </c>
      <c r="B22" s="14">
        <v>7013132</v>
      </c>
      <c r="C22" s="232" t="s">
        <v>839</v>
      </c>
      <c r="D22" s="208">
        <v>349.99</v>
      </c>
      <c r="E22" s="204">
        <f t="shared" si="8"/>
        <v>17.499500000000001</v>
      </c>
      <c r="F22" s="204">
        <f t="shared" si="9"/>
        <v>14.582916666666668</v>
      </c>
      <c r="G22" s="205">
        <f t="shared" si="10"/>
        <v>11.666333333333334</v>
      </c>
      <c r="H22" s="206">
        <f t="shared" si="11"/>
        <v>9.7219444444444445</v>
      </c>
    </row>
    <row r="23" spans="1:8" s="207" customFormat="1" ht="15.75" x14ac:dyDescent="0.25">
      <c r="A23" s="14" t="s">
        <v>840</v>
      </c>
      <c r="B23" s="14">
        <v>7013133</v>
      </c>
      <c r="C23" s="232" t="s">
        <v>841</v>
      </c>
      <c r="D23" s="208">
        <v>349.99</v>
      </c>
      <c r="E23" s="204">
        <f t="shared" si="8"/>
        <v>17.499500000000001</v>
      </c>
      <c r="F23" s="204">
        <f t="shared" si="9"/>
        <v>14.582916666666668</v>
      </c>
      <c r="G23" s="205">
        <f t="shared" si="10"/>
        <v>11.666333333333334</v>
      </c>
      <c r="H23" s="206">
        <f t="shared" si="11"/>
        <v>9.7219444444444445</v>
      </c>
    </row>
    <row r="24" spans="1:8" s="89" customFormat="1" ht="15.75" x14ac:dyDescent="0.25">
      <c r="A24" s="15" t="s">
        <v>677</v>
      </c>
      <c r="B24" s="15">
        <v>7012875</v>
      </c>
      <c r="C24" s="228" t="s">
        <v>678</v>
      </c>
      <c r="D24" s="226">
        <v>499.99</v>
      </c>
      <c r="E24" s="105">
        <f>D24/20</f>
        <v>24.999500000000001</v>
      </c>
      <c r="F24" s="105">
        <f>D24/24</f>
        <v>20.832916666666666</v>
      </c>
      <c r="G24" s="104">
        <f>D24/30</f>
        <v>16.666333333333334</v>
      </c>
      <c r="H24" s="106">
        <f>D24/36</f>
        <v>13.888611111111111</v>
      </c>
    </row>
    <row r="25" spans="1:8" s="89" customFormat="1" ht="15.75" x14ac:dyDescent="0.25">
      <c r="A25" s="15" t="s">
        <v>719</v>
      </c>
      <c r="B25" s="15">
        <v>7013117</v>
      </c>
      <c r="C25" s="228" t="s">
        <v>717</v>
      </c>
      <c r="D25" s="226">
        <v>599.99</v>
      </c>
      <c r="E25" s="105">
        <f t="shared" ref="E25:E30" si="12">D25/20</f>
        <v>29.999500000000001</v>
      </c>
      <c r="F25" s="105">
        <f t="shared" ref="F25:F30" si="13">D25/24</f>
        <v>24.999583333333334</v>
      </c>
      <c r="G25" s="104">
        <f t="shared" ref="G25:G30" si="14">D25/30</f>
        <v>19.999666666666666</v>
      </c>
      <c r="H25" s="106">
        <f t="shared" ref="H25:H30" si="15">D25/36</f>
        <v>16.666388888888889</v>
      </c>
    </row>
    <row r="26" spans="1:8" s="89" customFormat="1" ht="15.75" x14ac:dyDescent="0.25">
      <c r="A26" s="15" t="s">
        <v>720</v>
      </c>
      <c r="B26" s="15">
        <v>7013118</v>
      </c>
      <c r="C26" s="228" t="s">
        <v>718</v>
      </c>
      <c r="D26" s="226">
        <v>599.99</v>
      </c>
      <c r="E26" s="105">
        <f t="shared" si="12"/>
        <v>29.999500000000001</v>
      </c>
      <c r="F26" s="105">
        <f t="shared" si="13"/>
        <v>24.999583333333334</v>
      </c>
      <c r="G26" s="104">
        <f t="shared" si="14"/>
        <v>19.999666666666666</v>
      </c>
      <c r="H26" s="106">
        <f t="shared" si="15"/>
        <v>16.666388888888889</v>
      </c>
    </row>
    <row r="27" spans="1:8" s="240" customFormat="1" ht="12.75" customHeight="1" x14ac:dyDescent="0.25">
      <c r="A27" s="227" t="s">
        <v>906</v>
      </c>
      <c r="B27" s="227">
        <v>7013507</v>
      </c>
      <c r="C27" s="239" t="s">
        <v>907</v>
      </c>
      <c r="D27" s="110">
        <v>589.99</v>
      </c>
      <c r="E27" s="126">
        <f t="shared" si="12"/>
        <v>29.499500000000001</v>
      </c>
      <c r="F27" s="126">
        <f t="shared" si="13"/>
        <v>24.582916666666666</v>
      </c>
      <c r="G27" s="127">
        <f t="shared" si="14"/>
        <v>19.666333333333334</v>
      </c>
      <c r="H27" s="128">
        <f t="shared" si="15"/>
        <v>16.388611111111111</v>
      </c>
    </row>
    <row r="28" spans="1:8" s="240" customFormat="1" ht="12.75" customHeight="1" x14ac:dyDescent="0.25">
      <c r="A28" s="227" t="s">
        <v>908</v>
      </c>
      <c r="B28" s="227">
        <v>7013508</v>
      </c>
      <c r="C28" s="239" t="s">
        <v>909</v>
      </c>
      <c r="D28" s="110">
        <v>589.99</v>
      </c>
      <c r="E28" s="126">
        <f t="shared" si="12"/>
        <v>29.499500000000001</v>
      </c>
      <c r="F28" s="126">
        <f t="shared" si="13"/>
        <v>24.582916666666666</v>
      </c>
      <c r="G28" s="127">
        <f t="shared" si="14"/>
        <v>19.666333333333334</v>
      </c>
      <c r="H28" s="128">
        <f t="shared" si="15"/>
        <v>16.388611111111111</v>
      </c>
    </row>
    <row r="29" spans="1:8" s="240" customFormat="1" ht="12.75" customHeight="1" x14ac:dyDescent="0.25">
      <c r="A29" s="227" t="s">
        <v>910</v>
      </c>
      <c r="B29" s="227">
        <v>7013509</v>
      </c>
      <c r="C29" s="239" t="s">
        <v>911</v>
      </c>
      <c r="D29" s="110">
        <v>589.99</v>
      </c>
      <c r="E29" s="126">
        <f t="shared" si="12"/>
        <v>29.499500000000001</v>
      </c>
      <c r="F29" s="126">
        <f t="shared" si="13"/>
        <v>24.582916666666666</v>
      </c>
      <c r="G29" s="127">
        <f t="shared" si="14"/>
        <v>19.666333333333334</v>
      </c>
      <c r="H29" s="128">
        <f t="shared" si="15"/>
        <v>16.388611111111111</v>
      </c>
    </row>
    <row r="30" spans="1:8" s="240" customFormat="1" ht="12.75" customHeight="1" x14ac:dyDescent="0.25">
      <c r="A30" s="227" t="s">
        <v>912</v>
      </c>
      <c r="B30" s="227">
        <v>7013510</v>
      </c>
      <c r="C30" s="239" t="s">
        <v>913</v>
      </c>
      <c r="D30" s="110">
        <v>589.99</v>
      </c>
      <c r="E30" s="126">
        <f t="shared" si="12"/>
        <v>29.499500000000001</v>
      </c>
      <c r="F30" s="126">
        <f t="shared" si="13"/>
        <v>24.582916666666666</v>
      </c>
      <c r="G30" s="127">
        <f t="shared" si="14"/>
        <v>19.666333333333334</v>
      </c>
      <c r="H30" s="128">
        <f t="shared" si="15"/>
        <v>16.388611111111111</v>
      </c>
    </row>
    <row r="31" spans="1:8" s="89" customFormat="1" ht="15.75" x14ac:dyDescent="0.25">
      <c r="A31" s="15" t="s">
        <v>715</v>
      </c>
      <c r="B31" s="15">
        <v>7012958</v>
      </c>
      <c r="C31" s="228" t="s">
        <v>713</v>
      </c>
      <c r="D31" s="226">
        <v>589.99</v>
      </c>
      <c r="E31" s="105">
        <f t="shared" ref="E31:E32" si="16">D31/20</f>
        <v>29.499500000000001</v>
      </c>
      <c r="F31" s="105">
        <f t="shared" ref="F31:F32" si="17">D31/24</f>
        <v>24.582916666666666</v>
      </c>
      <c r="G31" s="104">
        <f t="shared" ref="G31:G32" si="18">D31/30</f>
        <v>19.666333333333334</v>
      </c>
      <c r="H31" s="106">
        <f t="shared" ref="H31:H32" si="19">D31/36</f>
        <v>16.388611111111111</v>
      </c>
    </row>
    <row r="32" spans="1:8" s="89" customFormat="1" ht="14.25" customHeight="1" x14ac:dyDescent="0.25">
      <c r="A32" s="15" t="s">
        <v>716</v>
      </c>
      <c r="B32" s="15">
        <v>7012959</v>
      </c>
      <c r="C32" s="228" t="s">
        <v>714</v>
      </c>
      <c r="D32" s="226">
        <v>589.99</v>
      </c>
      <c r="E32" s="105">
        <f t="shared" si="16"/>
        <v>29.499500000000001</v>
      </c>
      <c r="F32" s="105">
        <f t="shared" si="17"/>
        <v>24.582916666666666</v>
      </c>
      <c r="G32" s="104">
        <f t="shared" si="18"/>
        <v>19.666333333333334</v>
      </c>
      <c r="H32" s="106">
        <f t="shared" si="19"/>
        <v>16.388611111111111</v>
      </c>
    </row>
    <row r="33" spans="1:8" s="240" customFormat="1" ht="15.75" x14ac:dyDescent="0.25">
      <c r="A33" s="227" t="s">
        <v>590</v>
      </c>
      <c r="B33" s="227">
        <v>7012662</v>
      </c>
      <c r="C33" s="239" t="s">
        <v>595</v>
      </c>
      <c r="D33" s="110">
        <v>729.99</v>
      </c>
      <c r="E33" s="126">
        <f>D33/20</f>
        <v>36.499499999999998</v>
      </c>
      <c r="F33" s="126">
        <f>D33/24</f>
        <v>30.416250000000002</v>
      </c>
      <c r="G33" s="127">
        <f>D33/30</f>
        <v>24.333000000000002</v>
      </c>
      <c r="H33" s="128">
        <f>D33/36</f>
        <v>20.2775</v>
      </c>
    </row>
    <row r="34" spans="1:8" s="240" customFormat="1" ht="15.75" x14ac:dyDescent="0.25">
      <c r="A34" s="227" t="s">
        <v>591</v>
      </c>
      <c r="B34" s="227">
        <v>7012615</v>
      </c>
      <c r="C34" s="239" t="s">
        <v>596</v>
      </c>
      <c r="D34" s="110">
        <v>729.99</v>
      </c>
      <c r="E34" s="126">
        <f>D34/20</f>
        <v>36.499499999999998</v>
      </c>
      <c r="F34" s="126">
        <f>D34/24</f>
        <v>30.416250000000002</v>
      </c>
      <c r="G34" s="127">
        <f>D34/30</f>
        <v>24.333000000000002</v>
      </c>
      <c r="H34" s="128">
        <f>D34/36</f>
        <v>20.2775</v>
      </c>
    </row>
    <row r="35" spans="1:8" s="240" customFormat="1" ht="15.75" x14ac:dyDescent="0.25">
      <c r="A35" s="227" t="s">
        <v>592</v>
      </c>
      <c r="B35" s="227">
        <v>7012666</v>
      </c>
      <c r="C35" s="239" t="s">
        <v>597</v>
      </c>
      <c r="D35" s="110">
        <v>729.99</v>
      </c>
      <c r="E35" s="126">
        <f>D35/20</f>
        <v>36.499499999999998</v>
      </c>
      <c r="F35" s="126">
        <f>D35/24</f>
        <v>30.416250000000002</v>
      </c>
      <c r="G35" s="127">
        <f>D35/30</f>
        <v>24.333000000000002</v>
      </c>
      <c r="H35" s="128">
        <f>D35/36</f>
        <v>20.2775</v>
      </c>
    </row>
    <row r="36" spans="1:8" s="240" customFormat="1" ht="15.75" x14ac:dyDescent="0.25">
      <c r="A36" s="227" t="s">
        <v>593</v>
      </c>
      <c r="B36" s="227">
        <v>7012664</v>
      </c>
      <c r="C36" s="239" t="s">
        <v>598</v>
      </c>
      <c r="D36" s="110">
        <v>729.99</v>
      </c>
      <c r="E36" s="126">
        <f>D36/20</f>
        <v>36.499499999999998</v>
      </c>
      <c r="F36" s="126">
        <f>D36/24</f>
        <v>30.416250000000002</v>
      </c>
      <c r="G36" s="127">
        <f>D36/30</f>
        <v>24.333000000000002</v>
      </c>
      <c r="H36" s="128">
        <f>D36/36</f>
        <v>20.2775</v>
      </c>
    </row>
    <row r="37" spans="1:8" s="240" customFormat="1" ht="15.75" x14ac:dyDescent="0.25">
      <c r="A37" s="227" t="s">
        <v>594</v>
      </c>
      <c r="B37" s="227">
        <v>7012665</v>
      </c>
      <c r="C37" s="239" t="s">
        <v>599</v>
      </c>
      <c r="D37" s="110">
        <v>729.99</v>
      </c>
      <c r="E37" s="126">
        <f>D37/20</f>
        <v>36.499499999999998</v>
      </c>
      <c r="F37" s="126">
        <f>D37/24</f>
        <v>30.416250000000002</v>
      </c>
      <c r="G37" s="127">
        <f>D37/30</f>
        <v>24.333000000000002</v>
      </c>
      <c r="H37" s="128">
        <f>D37/36</f>
        <v>20.2775</v>
      </c>
    </row>
    <row r="38" spans="1:8" s="240" customFormat="1" ht="15.75" x14ac:dyDescent="0.25">
      <c r="A38" s="227" t="s">
        <v>914</v>
      </c>
      <c r="B38" s="227">
        <v>7013495</v>
      </c>
      <c r="C38" s="239" t="s">
        <v>915</v>
      </c>
      <c r="D38" s="110">
        <v>829.99</v>
      </c>
      <c r="E38" s="126">
        <f t="shared" ref="E38:E42" si="20">D38/20</f>
        <v>41.499499999999998</v>
      </c>
      <c r="F38" s="126">
        <f t="shared" ref="F38:F42" si="21">D38/24</f>
        <v>34.582916666666669</v>
      </c>
      <c r="G38" s="127">
        <f t="shared" ref="G38:G42" si="22">D38/30</f>
        <v>27.666333333333334</v>
      </c>
      <c r="H38" s="128">
        <f t="shared" ref="H38:H42" si="23">D38/36</f>
        <v>23.055277777777778</v>
      </c>
    </row>
    <row r="39" spans="1:8" s="240" customFormat="1" ht="15.75" x14ac:dyDescent="0.25">
      <c r="A39" s="227" t="s">
        <v>916</v>
      </c>
      <c r="B39" s="227">
        <v>7013537</v>
      </c>
      <c r="C39" s="239" t="s">
        <v>917</v>
      </c>
      <c r="D39" s="110">
        <v>829.99</v>
      </c>
      <c r="E39" s="126">
        <f t="shared" si="20"/>
        <v>41.499499999999998</v>
      </c>
      <c r="F39" s="126">
        <f t="shared" si="21"/>
        <v>34.582916666666669</v>
      </c>
      <c r="G39" s="127">
        <f t="shared" si="22"/>
        <v>27.666333333333334</v>
      </c>
      <c r="H39" s="128">
        <f t="shared" si="23"/>
        <v>23.055277777777778</v>
      </c>
    </row>
    <row r="40" spans="1:8" s="240" customFormat="1" ht="15.75" x14ac:dyDescent="0.25">
      <c r="A40" s="227" t="s">
        <v>918</v>
      </c>
      <c r="B40" s="227">
        <v>7013536</v>
      </c>
      <c r="C40" s="239" t="s">
        <v>919</v>
      </c>
      <c r="D40" s="110">
        <v>829.99</v>
      </c>
      <c r="E40" s="126">
        <f t="shared" si="20"/>
        <v>41.499499999999998</v>
      </c>
      <c r="F40" s="126">
        <f t="shared" si="21"/>
        <v>34.582916666666669</v>
      </c>
      <c r="G40" s="127">
        <f t="shared" si="22"/>
        <v>27.666333333333334</v>
      </c>
      <c r="H40" s="128">
        <f t="shared" si="23"/>
        <v>23.055277777777778</v>
      </c>
    </row>
    <row r="41" spans="1:8" s="240" customFormat="1" ht="15.75" x14ac:dyDescent="0.25">
      <c r="A41" s="227" t="s">
        <v>920</v>
      </c>
      <c r="B41" s="227">
        <v>7013494</v>
      </c>
      <c r="C41" s="239" t="s">
        <v>921</v>
      </c>
      <c r="D41" s="110">
        <v>829.99</v>
      </c>
      <c r="E41" s="126">
        <f t="shared" si="20"/>
        <v>41.499499999999998</v>
      </c>
      <c r="F41" s="126">
        <f t="shared" si="21"/>
        <v>34.582916666666669</v>
      </c>
      <c r="G41" s="127">
        <f t="shared" si="22"/>
        <v>27.666333333333334</v>
      </c>
      <c r="H41" s="128">
        <f t="shared" si="23"/>
        <v>23.055277777777778</v>
      </c>
    </row>
    <row r="42" spans="1:8" s="240" customFormat="1" ht="15.75" x14ac:dyDescent="0.25">
      <c r="A42" s="227" t="s">
        <v>922</v>
      </c>
      <c r="B42" s="227">
        <v>7013493</v>
      </c>
      <c r="C42" s="239" t="s">
        <v>923</v>
      </c>
      <c r="D42" s="110">
        <v>829.99</v>
      </c>
      <c r="E42" s="126">
        <f t="shared" si="20"/>
        <v>41.499499999999998</v>
      </c>
      <c r="F42" s="126">
        <f t="shared" si="21"/>
        <v>34.582916666666669</v>
      </c>
      <c r="G42" s="127">
        <f t="shared" si="22"/>
        <v>27.666333333333334</v>
      </c>
      <c r="H42" s="128">
        <f t="shared" si="23"/>
        <v>23.055277777777778</v>
      </c>
    </row>
    <row r="43" spans="1:8" s="89" customFormat="1" ht="15.75" x14ac:dyDescent="0.25">
      <c r="A43" s="15">
        <v>7013030</v>
      </c>
      <c r="B43" s="15" t="s">
        <v>693</v>
      </c>
      <c r="C43" s="228" t="s">
        <v>689</v>
      </c>
      <c r="D43" s="226">
        <v>799.99</v>
      </c>
      <c r="E43" s="105">
        <f t="shared" ref="E43:E53" si="24">D43/20</f>
        <v>39.999499999999998</v>
      </c>
      <c r="F43" s="105">
        <f t="shared" ref="F43:F53" si="25">D43/24</f>
        <v>33.332916666666669</v>
      </c>
      <c r="G43" s="104">
        <f t="shared" ref="G43:G53" si="26">D43/30</f>
        <v>26.666333333333334</v>
      </c>
      <c r="H43" s="106">
        <f t="shared" ref="H43:H53" si="27">D43/36</f>
        <v>22.221944444444446</v>
      </c>
    </row>
    <row r="44" spans="1:8" s="89" customFormat="1" ht="15.75" x14ac:dyDescent="0.25">
      <c r="A44" s="15">
        <v>7013031</v>
      </c>
      <c r="B44" s="15" t="s">
        <v>694</v>
      </c>
      <c r="C44" s="228" t="s">
        <v>690</v>
      </c>
      <c r="D44" s="226">
        <v>799.99</v>
      </c>
      <c r="E44" s="105">
        <f t="shared" si="24"/>
        <v>39.999499999999998</v>
      </c>
      <c r="F44" s="105">
        <f t="shared" si="25"/>
        <v>33.332916666666669</v>
      </c>
      <c r="G44" s="104">
        <f t="shared" si="26"/>
        <v>26.666333333333334</v>
      </c>
      <c r="H44" s="106">
        <f t="shared" si="27"/>
        <v>22.221944444444446</v>
      </c>
    </row>
    <row r="45" spans="1:8" s="89" customFormat="1" ht="16.5" customHeight="1" x14ac:dyDescent="0.25">
      <c r="A45" s="15">
        <v>7013032</v>
      </c>
      <c r="B45" s="15" t="s">
        <v>695</v>
      </c>
      <c r="C45" s="228" t="s">
        <v>691</v>
      </c>
      <c r="D45" s="226">
        <v>799.99</v>
      </c>
      <c r="E45" s="105">
        <f t="shared" si="24"/>
        <v>39.999499999999998</v>
      </c>
      <c r="F45" s="105">
        <f t="shared" si="25"/>
        <v>33.332916666666669</v>
      </c>
      <c r="G45" s="104">
        <f t="shared" si="26"/>
        <v>26.666333333333334</v>
      </c>
      <c r="H45" s="106">
        <f t="shared" si="27"/>
        <v>22.221944444444446</v>
      </c>
    </row>
    <row r="46" spans="1:8" s="89" customFormat="1" ht="15.75" x14ac:dyDescent="0.25">
      <c r="A46" s="15">
        <v>7013033</v>
      </c>
      <c r="B46" s="15" t="s">
        <v>696</v>
      </c>
      <c r="C46" s="228" t="s">
        <v>692</v>
      </c>
      <c r="D46" s="226">
        <v>799.99</v>
      </c>
      <c r="E46" s="105">
        <f t="shared" si="24"/>
        <v>39.999499999999998</v>
      </c>
      <c r="F46" s="105">
        <f t="shared" si="25"/>
        <v>33.332916666666669</v>
      </c>
      <c r="G46" s="104">
        <f t="shared" si="26"/>
        <v>26.666333333333334</v>
      </c>
      <c r="H46" s="106">
        <f t="shared" si="27"/>
        <v>22.221944444444446</v>
      </c>
    </row>
    <row r="47" spans="1:8" s="61" customFormat="1" ht="15.75" x14ac:dyDescent="0.25">
      <c r="A47" s="99" t="s">
        <v>883</v>
      </c>
      <c r="B47" s="227">
        <v>7013418</v>
      </c>
      <c r="C47" s="234" t="s">
        <v>884</v>
      </c>
      <c r="D47" s="110">
        <v>799.99</v>
      </c>
      <c r="E47" s="126">
        <f t="shared" ref="E47:E49" si="28">D47/20</f>
        <v>39.999499999999998</v>
      </c>
      <c r="F47" s="126">
        <f t="shared" ref="F47:F49" si="29">D47/24</f>
        <v>33.332916666666669</v>
      </c>
      <c r="G47" s="127">
        <f t="shared" ref="G47:G49" si="30">D47/30</f>
        <v>26.666333333333334</v>
      </c>
      <c r="H47" s="128">
        <f t="shared" ref="H47:H49" si="31">D47/36</f>
        <v>22.221944444444446</v>
      </c>
    </row>
    <row r="48" spans="1:8" s="61" customFormat="1" ht="15.75" x14ac:dyDescent="0.25">
      <c r="A48" s="99" t="s">
        <v>885</v>
      </c>
      <c r="B48" s="227">
        <v>7013419</v>
      </c>
      <c r="C48" s="234" t="s">
        <v>886</v>
      </c>
      <c r="D48" s="110">
        <v>799.99</v>
      </c>
      <c r="E48" s="126">
        <f t="shared" si="28"/>
        <v>39.999499999999998</v>
      </c>
      <c r="F48" s="126">
        <f t="shared" si="29"/>
        <v>33.332916666666669</v>
      </c>
      <c r="G48" s="127">
        <f t="shared" si="30"/>
        <v>26.666333333333334</v>
      </c>
      <c r="H48" s="128">
        <f t="shared" si="31"/>
        <v>22.221944444444446</v>
      </c>
    </row>
    <row r="49" spans="1:8" s="61" customFormat="1" ht="15.75" x14ac:dyDescent="0.25">
      <c r="A49" s="99" t="s">
        <v>887</v>
      </c>
      <c r="B49" s="227">
        <v>7013420</v>
      </c>
      <c r="C49" s="234" t="s">
        <v>888</v>
      </c>
      <c r="D49" s="110">
        <v>799.99</v>
      </c>
      <c r="E49" s="126">
        <f t="shared" si="28"/>
        <v>39.999499999999998</v>
      </c>
      <c r="F49" s="126">
        <f t="shared" si="29"/>
        <v>33.332916666666669</v>
      </c>
      <c r="G49" s="127">
        <f t="shared" si="30"/>
        <v>26.666333333333334</v>
      </c>
      <c r="H49" s="128">
        <f t="shared" si="31"/>
        <v>22.221944444444446</v>
      </c>
    </row>
    <row r="50" spans="1:8" s="61" customFormat="1" ht="15.75" x14ac:dyDescent="0.25">
      <c r="A50" s="99" t="s">
        <v>924</v>
      </c>
      <c r="B50" s="227">
        <v>7013539</v>
      </c>
      <c r="C50" s="260" t="s">
        <v>925</v>
      </c>
      <c r="D50" s="110">
        <v>999.99</v>
      </c>
      <c r="E50" s="126">
        <f t="shared" si="24"/>
        <v>49.999499999999998</v>
      </c>
      <c r="F50" s="126">
        <f t="shared" si="25"/>
        <v>41.666249999999998</v>
      </c>
      <c r="G50" s="127">
        <f t="shared" si="26"/>
        <v>33.332999999999998</v>
      </c>
      <c r="H50" s="128">
        <f t="shared" si="27"/>
        <v>27.7775</v>
      </c>
    </row>
    <row r="51" spans="1:8" s="61" customFormat="1" ht="15.75" x14ac:dyDescent="0.25">
      <c r="A51" s="99" t="s">
        <v>926</v>
      </c>
      <c r="B51" s="227">
        <v>7013540</v>
      </c>
      <c r="C51" s="260" t="s">
        <v>927</v>
      </c>
      <c r="D51" s="110">
        <v>999.99</v>
      </c>
      <c r="E51" s="126">
        <f t="shared" si="24"/>
        <v>49.999499999999998</v>
      </c>
      <c r="F51" s="126">
        <f t="shared" si="25"/>
        <v>41.666249999999998</v>
      </c>
      <c r="G51" s="127">
        <f t="shared" si="26"/>
        <v>33.332999999999998</v>
      </c>
      <c r="H51" s="128">
        <f t="shared" si="27"/>
        <v>27.7775</v>
      </c>
    </row>
    <row r="52" spans="1:8" s="61" customFormat="1" ht="15.75" x14ac:dyDescent="0.25">
      <c r="A52" s="99" t="s">
        <v>928</v>
      </c>
      <c r="B52" s="227">
        <v>7013541</v>
      </c>
      <c r="C52" s="260" t="s">
        <v>929</v>
      </c>
      <c r="D52" s="110">
        <v>999.99</v>
      </c>
      <c r="E52" s="126">
        <f t="shared" si="24"/>
        <v>49.999499999999998</v>
      </c>
      <c r="F52" s="126">
        <f t="shared" si="25"/>
        <v>41.666249999999998</v>
      </c>
      <c r="G52" s="127">
        <f t="shared" si="26"/>
        <v>33.332999999999998</v>
      </c>
      <c r="H52" s="128">
        <f t="shared" si="27"/>
        <v>27.7775</v>
      </c>
    </row>
    <row r="53" spans="1:8" s="61" customFormat="1" ht="15.75" x14ac:dyDescent="0.25">
      <c r="A53" s="99" t="s">
        <v>930</v>
      </c>
      <c r="B53" s="227">
        <v>7013538</v>
      </c>
      <c r="C53" s="260" t="s">
        <v>931</v>
      </c>
      <c r="D53" s="110">
        <v>999.99</v>
      </c>
      <c r="E53" s="126">
        <f t="shared" si="24"/>
        <v>49.999499999999998</v>
      </c>
      <c r="F53" s="126">
        <f t="shared" si="25"/>
        <v>41.666249999999998</v>
      </c>
      <c r="G53" s="127">
        <f t="shared" si="26"/>
        <v>33.332999999999998</v>
      </c>
      <c r="H53" s="128">
        <f t="shared" si="27"/>
        <v>27.7775</v>
      </c>
    </row>
    <row r="54" spans="1:8" ht="15.75" x14ac:dyDescent="0.25">
      <c r="A54" s="18" t="s">
        <v>701</v>
      </c>
      <c r="B54" s="15">
        <v>7013034</v>
      </c>
      <c r="C54" s="229" t="s">
        <v>697</v>
      </c>
      <c r="D54" s="226">
        <v>999.99</v>
      </c>
      <c r="E54" s="105">
        <f t="shared" ref="E54:E57" si="32">D54/20</f>
        <v>49.999499999999998</v>
      </c>
      <c r="F54" s="105">
        <f t="shared" ref="F54:F57" si="33">D54/24</f>
        <v>41.666249999999998</v>
      </c>
      <c r="G54" s="104">
        <f t="shared" ref="G54:G57" si="34">D54/30</f>
        <v>33.332999999999998</v>
      </c>
      <c r="H54" s="106">
        <f t="shared" ref="H54:H57" si="35">D54/36</f>
        <v>27.7775</v>
      </c>
    </row>
    <row r="55" spans="1:8" ht="15.75" x14ac:dyDescent="0.25">
      <c r="A55" s="18" t="s">
        <v>702</v>
      </c>
      <c r="B55" s="15">
        <v>7013035</v>
      </c>
      <c r="C55" s="229" t="s">
        <v>698</v>
      </c>
      <c r="D55" s="226">
        <v>999.99</v>
      </c>
      <c r="E55" s="105">
        <f t="shared" si="32"/>
        <v>49.999499999999998</v>
      </c>
      <c r="F55" s="105">
        <f t="shared" si="33"/>
        <v>41.666249999999998</v>
      </c>
      <c r="G55" s="104">
        <f t="shared" si="34"/>
        <v>33.332999999999998</v>
      </c>
      <c r="H55" s="106">
        <f t="shared" si="35"/>
        <v>27.7775</v>
      </c>
    </row>
    <row r="56" spans="1:8" ht="15.75" x14ac:dyDescent="0.25">
      <c r="A56" s="18" t="s">
        <v>703</v>
      </c>
      <c r="B56" s="15">
        <v>7013036</v>
      </c>
      <c r="C56" s="229" t="s">
        <v>699</v>
      </c>
      <c r="D56" s="226">
        <v>999.99</v>
      </c>
      <c r="E56" s="105">
        <f t="shared" si="32"/>
        <v>49.999499999999998</v>
      </c>
      <c r="F56" s="105">
        <f t="shared" si="33"/>
        <v>41.666249999999998</v>
      </c>
      <c r="G56" s="104">
        <f t="shared" si="34"/>
        <v>33.332999999999998</v>
      </c>
      <c r="H56" s="106">
        <f t="shared" si="35"/>
        <v>27.7775</v>
      </c>
    </row>
    <row r="57" spans="1:8" ht="15.75" x14ac:dyDescent="0.25">
      <c r="A57" s="18" t="s">
        <v>704</v>
      </c>
      <c r="B57" s="15">
        <v>7013037</v>
      </c>
      <c r="C57" s="229" t="s">
        <v>700</v>
      </c>
      <c r="D57" s="226">
        <v>999.99</v>
      </c>
      <c r="E57" s="105">
        <f t="shared" si="32"/>
        <v>49.999499999999998</v>
      </c>
      <c r="F57" s="105">
        <f t="shared" si="33"/>
        <v>41.666249999999998</v>
      </c>
      <c r="G57" s="104">
        <f t="shared" si="34"/>
        <v>33.332999999999998</v>
      </c>
      <c r="H57" s="106">
        <f t="shared" si="35"/>
        <v>27.7775</v>
      </c>
    </row>
    <row r="58" spans="1:8" s="61" customFormat="1" ht="15.75" x14ac:dyDescent="0.25">
      <c r="A58" s="99" t="s">
        <v>932</v>
      </c>
      <c r="B58" s="227">
        <v>7013547</v>
      </c>
      <c r="C58" s="234" t="s">
        <v>933</v>
      </c>
      <c r="D58" s="110">
        <v>1099.99</v>
      </c>
      <c r="E58" s="126">
        <f>D58/20</f>
        <v>54.999499999999998</v>
      </c>
      <c r="F58" s="126">
        <f>D58/24</f>
        <v>45.832916666666669</v>
      </c>
      <c r="G58" s="127">
        <f>D58/30</f>
        <v>36.666333333333334</v>
      </c>
      <c r="H58" s="128">
        <f>D58/36</f>
        <v>30.555277777777778</v>
      </c>
    </row>
    <row r="59" spans="1:8" s="61" customFormat="1" ht="15.75" x14ac:dyDescent="0.25">
      <c r="A59" s="99" t="s">
        <v>934</v>
      </c>
      <c r="B59" s="227">
        <v>7013549</v>
      </c>
      <c r="C59" s="234" t="s">
        <v>935</v>
      </c>
      <c r="D59" s="110">
        <v>1099.99</v>
      </c>
      <c r="E59" s="126">
        <f>D59/20</f>
        <v>54.999499999999998</v>
      </c>
      <c r="F59" s="126">
        <f>D59/24</f>
        <v>45.832916666666669</v>
      </c>
      <c r="G59" s="127">
        <f>D59/30</f>
        <v>36.666333333333334</v>
      </c>
      <c r="H59" s="128">
        <f>D59/36</f>
        <v>30.555277777777778</v>
      </c>
    </row>
    <row r="60" spans="1:8" s="61" customFormat="1" ht="15.75" x14ac:dyDescent="0.25">
      <c r="A60" s="99" t="s">
        <v>936</v>
      </c>
      <c r="B60" s="227">
        <v>7013548</v>
      </c>
      <c r="C60" s="234" t="s">
        <v>937</v>
      </c>
      <c r="D60" s="110">
        <v>1099.99</v>
      </c>
      <c r="E60" s="126">
        <f>D60/20</f>
        <v>54.999499999999998</v>
      </c>
      <c r="F60" s="126">
        <f>D60/24</f>
        <v>45.832916666666669</v>
      </c>
      <c r="G60" s="127">
        <f>D60/30</f>
        <v>36.666333333333334</v>
      </c>
      <c r="H60" s="128">
        <f>D60/36</f>
        <v>30.555277777777778</v>
      </c>
    </row>
    <row r="61" spans="1:8" s="61" customFormat="1" ht="15.75" x14ac:dyDescent="0.25">
      <c r="A61" s="99" t="s">
        <v>938</v>
      </c>
      <c r="B61" s="227">
        <v>7013552</v>
      </c>
      <c r="C61" s="234" t="s">
        <v>939</v>
      </c>
      <c r="D61" s="110">
        <v>1199.99</v>
      </c>
      <c r="E61" s="126">
        <f t="shared" ref="E61:E70" si="36">D61/20</f>
        <v>59.999499999999998</v>
      </c>
      <c r="F61" s="126">
        <f t="shared" ref="F61:F70" si="37">D61/24</f>
        <v>49.999583333333334</v>
      </c>
      <c r="G61" s="127">
        <f t="shared" ref="G61:G70" si="38">D61/30</f>
        <v>39.99966666666667</v>
      </c>
      <c r="H61" s="128">
        <f t="shared" ref="H61:H70" si="39">D61/36</f>
        <v>33.333055555555553</v>
      </c>
    </row>
    <row r="62" spans="1:8" s="61" customFormat="1" ht="15.75" x14ac:dyDescent="0.25">
      <c r="A62" s="99" t="s">
        <v>940</v>
      </c>
      <c r="B62" s="227">
        <v>7013553</v>
      </c>
      <c r="C62" s="234" t="s">
        <v>941</v>
      </c>
      <c r="D62" s="110">
        <v>1199.99</v>
      </c>
      <c r="E62" s="126">
        <f t="shared" si="36"/>
        <v>59.999499999999998</v>
      </c>
      <c r="F62" s="126">
        <f t="shared" si="37"/>
        <v>49.999583333333334</v>
      </c>
      <c r="G62" s="127">
        <f t="shared" si="38"/>
        <v>39.99966666666667</v>
      </c>
      <c r="H62" s="128">
        <f t="shared" si="39"/>
        <v>33.333055555555553</v>
      </c>
    </row>
    <row r="63" spans="1:8" s="61" customFormat="1" ht="15.75" x14ac:dyDescent="0.25">
      <c r="A63" s="99" t="s">
        <v>942</v>
      </c>
      <c r="B63" s="227">
        <v>7013554</v>
      </c>
      <c r="C63" s="234" t="s">
        <v>943</v>
      </c>
      <c r="D63" s="110">
        <v>1199.99</v>
      </c>
      <c r="E63" s="126">
        <f t="shared" si="36"/>
        <v>59.999499999999998</v>
      </c>
      <c r="F63" s="126">
        <f t="shared" si="37"/>
        <v>49.999583333333334</v>
      </c>
      <c r="G63" s="127">
        <f t="shared" si="38"/>
        <v>39.99966666666667</v>
      </c>
      <c r="H63" s="128">
        <f t="shared" si="39"/>
        <v>33.333055555555553</v>
      </c>
    </row>
    <row r="64" spans="1:8" s="61" customFormat="1" ht="15.75" x14ac:dyDescent="0.25">
      <c r="A64" s="99" t="s">
        <v>944</v>
      </c>
      <c r="B64" s="227">
        <v>7013555</v>
      </c>
      <c r="C64" s="234" t="s">
        <v>945</v>
      </c>
      <c r="D64" s="110">
        <v>1199.99</v>
      </c>
      <c r="E64" s="126">
        <f t="shared" si="36"/>
        <v>59.999499999999998</v>
      </c>
      <c r="F64" s="126">
        <f t="shared" si="37"/>
        <v>49.999583333333334</v>
      </c>
      <c r="G64" s="127">
        <f t="shared" si="38"/>
        <v>39.99966666666667</v>
      </c>
      <c r="H64" s="128">
        <f t="shared" si="39"/>
        <v>33.333055555555553</v>
      </c>
    </row>
    <row r="65" spans="1:8" s="61" customFormat="1" ht="15.75" x14ac:dyDescent="0.25">
      <c r="A65" s="99" t="s">
        <v>946</v>
      </c>
      <c r="B65" s="227">
        <v>7013551</v>
      </c>
      <c r="C65" s="234" t="s">
        <v>947</v>
      </c>
      <c r="D65" s="110">
        <v>1199.99</v>
      </c>
      <c r="E65" s="126">
        <f t="shared" si="36"/>
        <v>59.999499999999998</v>
      </c>
      <c r="F65" s="126">
        <f t="shared" si="37"/>
        <v>49.999583333333334</v>
      </c>
      <c r="G65" s="127">
        <f t="shared" si="38"/>
        <v>39.99966666666667</v>
      </c>
      <c r="H65" s="128">
        <f t="shared" si="39"/>
        <v>33.333055555555553</v>
      </c>
    </row>
    <row r="66" spans="1:8" s="61" customFormat="1" ht="15.75" x14ac:dyDescent="0.25">
      <c r="A66" s="99" t="s">
        <v>948</v>
      </c>
      <c r="B66" s="227">
        <v>7013546</v>
      </c>
      <c r="C66" s="234" t="s">
        <v>949</v>
      </c>
      <c r="D66" s="110">
        <v>1199.99</v>
      </c>
      <c r="E66" s="126">
        <f t="shared" si="36"/>
        <v>59.999499999999998</v>
      </c>
      <c r="F66" s="126">
        <f t="shared" si="37"/>
        <v>49.999583333333334</v>
      </c>
      <c r="G66" s="127">
        <f t="shared" si="38"/>
        <v>39.99966666666667</v>
      </c>
      <c r="H66" s="128">
        <f t="shared" si="39"/>
        <v>33.333055555555553</v>
      </c>
    </row>
    <row r="67" spans="1:8" s="61" customFormat="1" ht="15.75" x14ac:dyDescent="0.25">
      <c r="A67" s="99" t="s">
        <v>950</v>
      </c>
      <c r="B67" s="227">
        <v>7013545</v>
      </c>
      <c r="C67" s="234" t="s">
        <v>951</v>
      </c>
      <c r="D67" s="110">
        <v>1199.99</v>
      </c>
      <c r="E67" s="126">
        <f t="shared" si="36"/>
        <v>59.999499999999998</v>
      </c>
      <c r="F67" s="126">
        <f t="shared" si="37"/>
        <v>49.999583333333334</v>
      </c>
      <c r="G67" s="127">
        <f t="shared" si="38"/>
        <v>39.99966666666667</v>
      </c>
      <c r="H67" s="128">
        <f t="shared" si="39"/>
        <v>33.333055555555553</v>
      </c>
    </row>
    <row r="68" spans="1:8" s="61" customFormat="1" ht="15.75" x14ac:dyDescent="0.25">
      <c r="A68" s="99" t="s">
        <v>952</v>
      </c>
      <c r="B68" s="227">
        <v>7013550</v>
      </c>
      <c r="C68" s="234" t="s">
        <v>953</v>
      </c>
      <c r="D68" s="110">
        <v>1299.99</v>
      </c>
      <c r="E68" s="126">
        <f t="shared" si="36"/>
        <v>64.999499999999998</v>
      </c>
      <c r="F68" s="126">
        <f t="shared" si="37"/>
        <v>54.166249999999998</v>
      </c>
      <c r="G68" s="127">
        <f t="shared" si="38"/>
        <v>43.332999999999998</v>
      </c>
      <c r="H68" s="128">
        <f t="shared" si="39"/>
        <v>36.110833333333332</v>
      </c>
    </row>
    <row r="69" spans="1:8" s="61" customFormat="1" ht="15.75" x14ac:dyDescent="0.25">
      <c r="A69" s="99" t="s">
        <v>954</v>
      </c>
      <c r="B69" s="227">
        <v>7013544</v>
      </c>
      <c r="C69" s="234" t="s">
        <v>955</v>
      </c>
      <c r="D69" s="110">
        <v>1299.99</v>
      </c>
      <c r="E69" s="126">
        <f t="shared" si="36"/>
        <v>64.999499999999998</v>
      </c>
      <c r="F69" s="126">
        <f t="shared" si="37"/>
        <v>54.166249999999998</v>
      </c>
      <c r="G69" s="127">
        <f t="shared" si="38"/>
        <v>43.332999999999998</v>
      </c>
      <c r="H69" s="128">
        <f t="shared" si="39"/>
        <v>36.110833333333332</v>
      </c>
    </row>
    <row r="70" spans="1:8" s="61" customFormat="1" ht="15.75" x14ac:dyDescent="0.25">
      <c r="A70" s="99" t="s">
        <v>956</v>
      </c>
      <c r="B70" s="227">
        <v>7013543</v>
      </c>
      <c r="C70" s="234" t="s">
        <v>957</v>
      </c>
      <c r="D70" s="110">
        <v>1299.99</v>
      </c>
      <c r="E70" s="126">
        <f t="shared" si="36"/>
        <v>64.999499999999998</v>
      </c>
      <c r="F70" s="126">
        <f t="shared" si="37"/>
        <v>54.166249999999998</v>
      </c>
      <c r="G70" s="127">
        <f t="shared" si="38"/>
        <v>43.332999999999998</v>
      </c>
      <c r="H70" s="128">
        <f t="shared" si="39"/>
        <v>36.110833333333332</v>
      </c>
    </row>
    <row r="71" spans="1:8" ht="15.75" x14ac:dyDescent="0.25">
      <c r="A71" s="18" t="s">
        <v>709</v>
      </c>
      <c r="B71" s="15">
        <v>7013038</v>
      </c>
      <c r="C71" s="233" t="s">
        <v>705</v>
      </c>
      <c r="D71" s="226">
        <v>1299.99</v>
      </c>
      <c r="E71" s="105">
        <f t="shared" ref="E71:E74" si="40">D71/20</f>
        <v>64.999499999999998</v>
      </c>
      <c r="F71" s="105">
        <f t="shared" ref="F71:F74" si="41">D71/24</f>
        <v>54.166249999999998</v>
      </c>
      <c r="G71" s="104">
        <f t="shared" ref="G71:G74" si="42">D71/30</f>
        <v>43.332999999999998</v>
      </c>
      <c r="H71" s="106">
        <f t="shared" ref="H71:H74" si="43">D71/36</f>
        <v>36.110833333333332</v>
      </c>
    </row>
    <row r="72" spans="1:8" ht="15.75" x14ac:dyDescent="0.25">
      <c r="A72" s="18" t="s">
        <v>710</v>
      </c>
      <c r="B72" s="15">
        <v>7013039</v>
      </c>
      <c r="C72" s="233" t="s">
        <v>706</v>
      </c>
      <c r="D72" s="226">
        <v>1299.99</v>
      </c>
      <c r="E72" s="105">
        <f t="shared" si="40"/>
        <v>64.999499999999998</v>
      </c>
      <c r="F72" s="105">
        <f t="shared" si="41"/>
        <v>54.166249999999998</v>
      </c>
      <c r="G72" s="104">
        <f t="shared" si="42"/>
        <v>43.332999999999998</v>
      </c>
      <c r="H72" s="106">
        <f t="shared" si="43"/>
        <v>36.110833333333332</v>
      </c>
    </row>
    <row r="73" spans="1:8" ht="15.75" x14ac:dyDescent="0.25">
      <c r="A73" s="18" t="s">
        <v>711</v>
      </c>
      <c r="B73" s="15">
        <v>7013040</v>
      </c>
      <c r="C73" s="233" t="s">
        <v>707</v>
      </c>
      <c r="D73" s="226">
        <v>1299.99</v>
      </c>
      <c r="E73" s="105">
        <f t="shared" si="40"/>
        <v>64.999499999999998</v>
      </c>
      <c r="F73" s="105">
        <f t="shared" si="41"/>
        <v>54.166249999999998</v>
      </c>
      <c r="G73" s="104">
        <f t="shared" si="42"/>
        <v>43.332999999999998</v>
      </c>
      <c r="H73" s="106">
        <f t="shared" si="43"/>
        <v>36.110833333333332</v>
      </c>
    </row>
    <row r="74" spans="1:8" ht="15.75" x14ac:dyDescent="0.25">
      <c r="A74" s="18" t="s">
        <v>712</v>
      </c>
      <c r="B74" s="15">
        <v>7013041</v>
      </c>
      <c r="C74" s="233" t="s">
        <v>708</v>
      </c>
      <c r="D74" s="226">
        <v>1299.99</v>
      </c>
      <c r="E74" s="105">
        <f t="shared" si="40"/>
        <v>64.999499999999998</v>
      </c>
      <c r="F74" s="105">
        <f t="shared" si="41"/>
        <v>54.166249999999998</v>
      </c>
      <c r="G74" s="104">
        <f t="shared" si="42"/>
        <v>43.332999999999998</v>
      </c>
      <c r="H74" s="106">
        <f t="shared" si="43"/>
        <v>36.110833333333332</v>
      </c>
    </row>
    <row r="75" spans="1:8" ht="15.75" x14ac:dyDescent="0.25">
      <c r="A75" s="18" t="s">
        <v>889</v>
      </c>
      <c r="B75" s="15">
        <v>7013421</v>
      </c>
      <c r="C75" s="233" t="s">
        <v>890</v>
      </c>
      <c r="D75" s="226">
        <v>1899.99</v>
      </c>
      <c r="E75" s="105">
        <f t="shared" ref="E75:E77" si="44">D75/20</f>
        <v>94.999499999999998</v>
      </c>
      <c r="F75" s="105">
        <f t="shared" ref="F75:F77" si="45">D75/24</f>
        <v>79.166250000000005</v>
      </c>
      <c r="G75" s="104">
        <f t="shared" ref="G75:G77" si="46">D75/30</f>
        <v>63.332999999999998</v>
      </c>
      <c r="H75" s="106">
        <f t="shared" ref="H75:H77" si="47">D75/36</f>
        <v>52.777500000000003</v>
      </c>
    </row>
    <row r="76" spans="1:8" ht="15.75" x14ac:dyDescent="0.25">
      <c r="A76" s="18" t="s">
        <v>891</v>
      </c>
      <c r="B76" s="15">
        <v>7013422</v>
      </c>
      <c r="C76" s="233" t="s">
        <v>892</v>
      </c>
      <c r="D76" s="226">
        <v>1899.99</v>
      </c>
      <c r="E76" s="105">
        <f t="shared" si="44"/>
        <v>94.999499999999998</v>
      </c>
      <c r="F76" s="105">
        <f t="shared" si="45"/>
        <v>79.166250000000005</v>
      </c>
      <c r="G76" s="104">
        <f t="shared" si="46"/>
        <v>63.332999999999998</v>
      </c>
      <c r="H76" s="106">
        <f t="shared" si="47"/>
        <v>52.777500000000003</v>
      </c>
    </row>
    <row r="77" spans="1:8" ht="15.75" x14ac:dyDescent="0.25">
      <c r="A77" s="18" t="s">
        <v>893</v>
      </c>
      <c r="B77" s="15">
        <v>7013423</v>
      </c>
      <c r="C77" s="233" t="s">
        <v>894</v>
      </c>
      <c r="D77" s="226">
        <v>1899.99</v>
      </c>
      <c r="E77" s="105">
        <f t="shared" si="44"/>
        <v>94.999499999999998</v>
      </c>
      <c r="F77" s="105">
        <f t="shared" si="45"/>
        <v>79.166250000000005</v>
      </c>
      <c r="G77" s="104">
        <f t="shared" si="46"/>
        <v>63.332999999999998</v>
      </c>
      <c r="H77" s="106">
        <f t="shared" si="47"/>
        <v>52.777500000000003</v>
      </c>
    </row>
  </sheetData>
  <autoFilter ref="A10:H10" xr:uid="{ADA85707-1B0B-44CA-AEAA-949659E5D29E}"/>
  <sortState xmlns:xlrd2="http://schemas.microsoft.com/office/spreadsheetml/2017/richdata2" ref="A12:H74">
    <sortCondition ref="D12:D74"/>
  </sortState>
  <mergeCells count="3">
    <mergeCell ref="A3:C3"/>
    <mergeCell ref="A7:D7"/>
    <mergeCell ref="A9:D9"/>
  </mergeCells>
  <conditionalFormatting sqref="A78:B1048576">
    <cfRule type="duplicateValues" dxfId="110" priority="101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2BA1-E850-4AFF-A391-CE9DAB12644E}">
  <dimension ref="A1:I27"/>
  <sheetViews>
    <sheetView showGridLines="0" zoomScale="80" zoomScaleNormal="80" workbookViewId="0">
      <selection activeCell="C22" sqref="C22"/>
    </sheetView>
  </sheetViews>
  <sheetFormatPr defaultRowHeight="15" x14ac:dyDescent="0.25"/>
  <cols>
    <col min="1" max="1" width="19.7109375" style="148" bestFit="1" customWidth="1"/>
    <col min="2" max="2" width="26.28515625" style="148" bestFit="1" customWidth="1"/>
    <col min="3" max="3" width="54" style="148" customWidth="1"/>
    <col min="4" max="4" width="36.85546875" style="148" customWidth="1"/>
    <col min="5" max="5" width="20.42578125" style="147" customWidth="1"/>
    <col min="6" max="9" width="17.5703125" style="147" customWidth="1"/>
    <col min="10" max="16384" width="9.140625" style="148"/>
  </cols>
  <sheetData>
    <row r="1" spans="1:9" s="114" customFormat="1" ht="21" x14ac:dyDescent="0.25">
      <c r="A1" s="141" t="s">
        <v>815</v>
      </c>
      <c r="B1" s="141"/>
      <c r="C1" s="142"/>
      <c r="D1" s="142"/>
      <c r="E1" s="143"/>
      <c r="F1" s="143"/>
      <c r="G1" s="143"/>
      <c r="H1" s="144"/>
      <c r="I1" s="144"/>
    </row>
    <row r="2" spans="1:9" s="114" customFormat="1" ht="21" x14ac:dyDescent="0.25">
      <c r="A2" s="84" t="s">
        <v>895</v>
      </c>
      <c r="B2" s="85"/>
      <c r="C2" s="142"/>
      <c r="D2" s="145"/>
      <c r="E2" s="146"/>
      <c r="F2" s="143"/>
      <c r="G2" s="143"/>
      <c r="H2" s="144"/>
      <c r="I2" s="144"/>
    </row>
    <row r="3" spans="1:9" s="114" customFormat="1" ht="21" x14ac:dyDescent="0.25">
      <c r="A3" s="250" t="s">
        <v>816</v>
      </c>
      <c r="B3" s="250"/>
      <c r="C3" s="250"/>
      <c r="D3" s="250"/>
      <c r="E3" s="250"/>
      <c r="F3" s="250"/>
      <c r="G3" s="143"/>
      <c r="H3" s="144"/>
      <c r="I3" s="144"/>
    </row>
    <row r="4" spans="1:9" ht="18.75" x14ac:dyDescent="0.25">
      <c r="A4" s="251" t="s">
        <v>664</v>
      </c>
      <c r="B4" s="252"/>
      <c r="C4" s="252"/>
      <c r="D4" s="252"/>
      <c r="E4" s="163"/>
      <c r="F4" s="163"/>
      <c r="G4" s="163"/>
      <c r="H4" s="163"/>
      <c r="I4" s="163"/>
    </row>
    <row r="5" spans="1:9" s="149" customFormat="1" ht="56.25" x14ac:dyDescent="0.25">
      <c r="A5" s="118" t="s">
        <v>2</v>
      </c>
      <c r="B5" s="118" t="s">
        <v>3</v>
      </c>
      <c r="C5" s="150" t="s">
        <v>112</v>
      </c>
      <c r="D5" s="150" t="s">
        <v>117</v>
      </c>
      <c r="E5" s="151" t="s">
        <v>113</v>
      </c>
      <c r="F5" s="152" t="s">
        <v>118</v>
      </c>
      <c r="G5" s="152" t="s">
        <v>114</v>
      </c>
      <c r="H5" s="152" t="s">
        <v>115</v>
      </c>
      <c r="I5" s="152" t="s">
        <v>116</v>
      </c>
    </row>
    <row r="6" spans="1:9" ht="18.75" x14ac:dyDescent="0.25">
      <c r="A6" s="201"/>
      <c r="B6" s="201"/>
      <c r="C6" s="202"/>
      <c r="D6" s="212" t="s">
        <v>817</v>
      </c>
      <c r="E6" s="211" t="s">
        <v>538</v>
      </c>
      <c r="F6" s="203" t="s">
        <v>313</v>
      </c>
      <c r="G6" s="203" t="s">
        <v>314</v>
      </c>
      <c r="H6" s="203" t="s">
        <v>512</v>
      </c>
      <c r="I6" s="203" t="s">
        <v>510</v>
      </c>
    </row>
    <row r="7" spans="1:9" s="114" customFormat="1" ht="42.75" customHeight="1" x14ac:dyDescent="0.25">
      <c r="A7" s="159" t="s">
        <v>825</v>
      </c>
      <c r="B7" s="158">
        <v>7012893</v>
      </c>
      <c r="C7" s="154" t="s">
        <v>826</v>
      </c>
      <c r="D7" s="153" t="s">
        <v>513</v>
      </c>
      <c r="E7" s="156">
        <v>99.99</v>
      </c>
      <c r="F7" s="156">
        <f t="shared" ref="F7" si="0">E7/12</f>
        <v>8.3324999999999996</v>
      </c>
      <c r="G7" s="156">
        <f t="shared" ref="G7" si="1">E7/24</f>
        <v>4.1662499999999998</v>
      </c>
      <c r="H7" s="156">
        <f t="shared" ref="H7" si="2">E7/30</f>
        <v>3.3329999999999997</v>
      </c>
      <c r="I7" s="156">
        <f t="shared" ref="I7" si="3">E7/36</f>
        <v>2.7774999999999999</v>
      </c>
    </row>
    <row r="8" spans="1:9" s="114" customFormat="1" ht="37.5" x14ac:dyDescent="0.25">
      <c r="A8" s="159" t="s">
        <v>309</v>
      </c>
      <c r="B8" s="158">
        <v>70007573</v>
      </c>
      <c r="C8" s="154" t="s">
        <v>310</v>
      </c>
      <c r="D8" s="153" t="s">
        <v>513</v>
      </c>
      <c r="E8" s="156">
        <v>99.99</v>
      </c>
      <c r="F8" s="156">
        <f t="shared" ref="F8:F27" si="4">E8/12</f>
        <v>8.3324999999999996</v>
      </c>
      <c r="G8" s="156">
        <f t="shared" ref="G8:G27" si="5">E8/24</f>
        <v>4.1662499999999998</v>
      </c>
      <c r="H8" s="156">
        <f t="shared" ref="H8:H27" si="6">E8/30</f>
        <v>3.3329999999999997</v>
      </c>
      <c r="I8" s="156">
        <f t="shared" ref="I8:I27" si="7">E8/36</f>
        <v>2.7774999999999999</v>
      </c>
    </row>
    <row r="9" spans="1:9" s="114" customFormat="1" ht="37.5" x14ac:dyDescent="0.25">
      <c r="A9" s="160" t="s">
        <v>519</v>
      </c>
      <c r="B9" s="160">
        <v>7010844</v>
      </c>
      <c r="C9" s="155" t="s">
        <v>520</v>
      </c>
      <c r="D9" s="153" t="s">
        <v>513</v>
      </c>
      <c r="E9" s="156">
        <v>99.99</v>
      </c>
      <c r="F9" s="156">
        <f t="shared" si="4"/>
        <v>8.3324999999999996</v>
      </c>
      <c r="G9" s="156">
        <f t="shared" si="5"/>
        <v>4.1662499999999998</v>
      </c>
      <c r="H9" s="156">
        <f t="shared" si="6"/>
        <v>3.3329999999999997</v>
      </c>
      <c r="I9" s="156">
        <f t="shared" si="7"/>
        <v>2.7774999999999999</v>
      </c>
    </row>
    <row r="10" spans="1:9" s="114" customFormat="1" ht="37.5" x14ac:dyDescent="0.25">
      <c r="A10" s="161" t="s">
        <v>515</v>
      </c>
      <c r="B10" s="162">
        <v>7008216</v>
      </c>
      <c r="C10" s="224" t="s">
        <v>516</v>
      </c>
      <c r="D10" s="225" t="s">
        <v>513</v>
      </c>
      <c r="E10" s="157">
        <v>139.99</v>
      </c>
      <c r="F10" s="157">
        <f t="shared" si="4"/>
        <v>11.665833333333333</v>
      </c>
      <c r="G10" s="157">
        <f t="shared" si="5"/>
        <v>5.8329166666666667</v>
      </c>
      <c r="H10" s="157">
        <f t="shared" si="6"/>
        <v>4.6663333333333332</v>
      </c>
      <c r="I10" s="157">
        <f t="shared" si="7"/>
        <v>3.8886111111111115</v>
      </c>
    </row>
    <row r="11" spans="1:9" s="114" customFormat="1" ht="40.5" customHeight="1" x14ac:dyDescent="0.25">
      <c r="A11" s="160" t="s">
        <v>821</v>
      </c>
      <c r="B11" s="160">
        <v>7012279</v>
      </c>
      <c r="C11" s="155" t="s">
        <v>831</v>
      </c>
      <c r="D11" s="153" t="s">
        <v>513</v>
      </c>
      <c r="E11" s="156">
        <v>299.99</v>
      </c>
      <c r="F11" s="156">
        <v>24.999166666666667</v>
      </c>
      <c r="G11" s="156">
        <v>12.499583333333334</v>
      </c>
      <c r="H11" s="156">
        <v>9.9996666666666663</v>
      </c>
      <c r="I11" s="156">
        <v>8.3330555555555552</v>
      </c>
    </row>
    <row r="12" spans="1:9" s="114" customFormat="1" ht="39" customHeight="1" x14ac:dyDescent="0.25">
      <c r="A12" s="160" t="s">
        <v>823</v>
      </c>
      <c r="B12" s="160">
        <v>7013126</v>
      </c>
      <c r="C12" s="155" t="s">
        <v>832</v>
      </c>
      <c r="D12" s="153" t="s">
        <v>513</v>
      </c>
      <c r="E12" s="156">
        <v>299.99</v>
      </c>
      <c r="F12" s="156">
        <v>24.999166666666667</v>
      </c>
      <c r="G12" s="156">
        <v>12.499583333333334</v>
      </c>
      <c r="H12" s="156">
        <v>9.9996666666666663</v>
      </c>
      <c r="I12" s="156">
        <v>8.3330555555555552</v>
      </c>
    </row>
    <row r="13" spans="1:9" s="114" customFormat="1" ht="37.5" x14ac:dyDescent="0.25">
      <c r="A13" s="160" t="s">
        <v>517</v>
      </c>
      <c r="B13" s="160">
        <v>70009571</v>
      </c>
      <c r="C13" s="155" t="s">
        <v>518</v>
      </c>
      <c r="D13" s="153" t="s">
        <v>513</v>
      </c>
      <c r="E13" s="156">
        <v>399.99</v>
      </c>
      <c r="F13" s="156">
        <f t="shared" si="4"/>
        <v>33.332500000000003</v>
      </c>
      <c r="G13" s="156">
        <f t="shared" si="5"/>
        <v>16.666250000000002</v>
      </c>
      <c r="H13" s="156">
        <f t="shared" si="6"/>
        <v>13.333</v>
      </c>
      <c r="I13" s="156">
        <f t="shared" si="7"/>
        <v>11.110833333333334</v>
      </c>
    </row>
    <row r="14" spans="1:9" ht="37.5" x14ac:dyDescent="0.25">
      <c r="A14" s="160" t="s">
        <v>687</v>
      </c>
      <c r="B14" s="160">
        <v>7012919</v>
      </c>
      <c r="C14" s="193" t="s">
        <v>688</v>
      </c>
      <c r="D14" s="160" t="s">
        <v>513</v>
      </c>
      <c r="E14" s="156">
        <v>499.99</v>
      </c>
      <c r="F14" s="156">
        <f>E14/12</f>
        <v>41.665833333333332</v>
      </c>
      <c r="G14" s="156">
        <f>E14/24</f>
        <v>20.832916666666666</v>
      </c>
      <c r="H14" s="156">
        <f>E14/30</f>
        <v>16.666333333333334</v>
      </c>
      <c r="I14" s="156">
        <f>E14/36</f>
        <v>13.888611111111111</v>
      </c>
    </row>
    <row r="15" spans="1:9" s="19" customFormat="1" ht="36.75" customHeight="1" x14ac:dyDescent="0.25">
      <c r="A15" s="160" t="s">
        <v>563</v>
      </c>
      <c r="B15" s="160">
        <v>7012333</v>
      </c>
      <c r="C15" s="155" t="s">
        <v>564</v>
      </c>
      <c r="D15" s="160" t="s">
        <v>513</v>
      </c>
      <c r="E15" s="156">
        <v>549.99</v>
      </c>
      <c r="F15" s="156">
        <f t="shared" ref="F15" si="8">E15/12</f>
        <v>45.832500000000003</v>
      </c>
      <c r="G15" s="156">
        <f t="shared" ref="G15" si="9">E15/24</f>
        <v>22.916250000000002</v>
      </c>
      <c r="H15" s="156">
        <f t="shared" ref="H15" si="10">E15/30</f>
        <v>18.333000000000002</v>
      </c>
      <c r="I15" s="156">
        <f t="shared" ref="I15" si="11">E15/36</f>
        <v>15.2775</v>
      </c>
    </row>
    <row r="16" spans="1:9" ht="37.5" x14ac:dyDescent="0.25">
      <c r="A16" s="160" t="s">
        <v>797</v>
      </c>
      <c r="B16" s="160">
        <v>7013179</v>
      </c>
      <c r="C16" s="193" t="s">
        <v>798</v>
      </c>
      <c r="D16" s="160" t="s">
        <v>513</v>
      </c>
      <c r="E16" s="156">
        <v>539.99</v>
      </c>
      <c r="F16" s="156">
        <f>E16/12</f>
        <v>44.999166666666667</v>
      </c>
      <c r="G16" s="156">
        <f>E16/24</f>
        <v>22.499583333333334</v>
      </c>
      <c r="H16" s="156">
        <f>E16/30</f>
        <v>17.999666666666666</v>
      </c>
      <c r="I16" s="156">
        <f>E16/36</f>
        <v>14.999722222222223</v>
      </c>
    </row>
    <row r="17" spans="1:9" ht="37.5" x14ac:dyDescent="0.25">
      <c r="A17" s="160" t="s">
        <v>799</v>
      </c>
      <c r="B17" s="160">
        <v>7013178</v>
      </c>
      <c r="C17" s="193" t="s">
        <v>800</v>
      </c>
      <c r="D17" s="160" t="s">
        <v>513</v>
      </c>
      <c r="E17" s="156">
        <v>539.99</v>
      </c>
      <c r="F17" s="156">
        <f>E17/12</f>
        <v>44.999166666666667</v>
      </c>
      <c r="G17" s="156">
        <f>E17/24</f>
        <v>22.499583333333334</v>
      </c>
      <c r="H17" s="156">
        <f>E17/30</f>
        <v>17.999666666666666</v>
      </c>
      <c r="I17" s="156">
        <f>E17/36</f>
        <v>14.999722222222223</v>
      </c>
    </row>
    <row r="18" spans="1:9" ht="37.5" x14ac:dyDescent="0.25">
      <c r="A18" s="160" t="s">
        <v>801</v>
      </c>
      <c r="B18" s="160">
        <v>7013180</v>
      </c>
      <c r="C18" s="193" t="s">
        <v>802</v>
      </c>
      <c r="D18" s="160" t="s">
        <v>513</v>
      </c>
      <c r="E18" s="156">
        <v>539.99</v>
      </c>
      <c r="F18" s="156">
        <f>E18/12</f>
        <v>44.999166666666667</v>
      </c>
      <c r="G18" s="156">
        <f>E18/24</f>
        <v>22.499583333333334</v>
      </c>
      <c r="H18" s="156">
        <f>E18/30</f>
        <v>17.999666666666666</v>
      </c>
      <c r="I18" s="156">
        <f>E18/36</f>
        <v>14.999722222222223</v>
      </c>
    </row>
    <row r="19" spans="1:9" ht="37.5" x14ac:dyDescent="0.25">
      <c r="A19" s="160" t="s">
        <v>809</v>
      </c>
      <c r="B19" s="160">
        <v>7013109</v>
      </c>
      <c r="C19" s="193" t="s">
        <v>810</v>
      </c>
      <c r="D19" s="160" t="s">
        <v>513</v>
      </c>
      <c r="E19" s="156">
        <v>574.99</v>
      </c>
      <c r="F19" s="156">
        <f>E19/12</f>
        <v>47.915833333333332</v>
      </c>
      <c r="G19" s="156">
        <f>E19/24</f>
        <v>23.957916666666666</v>
      </c>
      <c r="H19" s="156">
        <f>E19/30</f>
        <v>19.166333333333334</v>
      </c>
      <c r="I19" s="156">
        <f>E19/36</f>
        <v>15.971944444444444</v>
      </c>
    </row>
    <row r="20" spans="1:9" s="19" customFormat="1" ht="39.75" customHeight="1" x14ac:dyDescent="0.25">
      <c r="A20" s="160" t="s">
        <v>819</v>
      </c>
      <c r="B20" s="160">
        <v>7012802</v>
      </c>
      <c r="C20" s="155" t="s">
        <v>820</v>
      </c>
      <c r="D20" s="160" t="s">
        <v>513</v>
      </c>
      <c r="E20" s="156">
        <v>599.99</v>
      </c>
      <c r="F20" s="156">
        <f t="shared" si="4"/>
        <v>49.999166666666667</v>
      </c>
      <c r="G20" s="156">
        <f t="shared" si="5"/>
        <v>24.999583333333334</v>
      </c>
      <c r="H20" s="156">
        <f t="shared" si="6"/>
        <v>19.999666666666666</v>
      </c>
      <c r="I20" s="156">
        <f t="shared" si="7"/>
        <v>16.666388888888889</v>
      </c>
    </row>
    <row r="21" spans="1:9" ht="37.5" x14ac:dyDescent="0.25">
      <c r="A21" s="160" t="s">
        <v>803</v>
      </c>
      <c r="B21" s="160">
        <v>7013185</v>
      </c>
      <c r="C21" s="193" t="s">
        <v>804</v>
      </c>
      <c r="D21" s="160" t="s">
        <v>513</v>
      </c>
      <c r="E21" s="156">
        <v>889.99</v>
      </c>
      <c r="F21" s="156">
        <f>E21/12</f>
        <v>74.165833333333339</v>
      </c>
      <c r="G21" s="156">
        <f>E21/24</f>
        <v>37.082916666666669</v>
      </c>
      <c r="H21" s="156">
        <f>E21/30</f>
        <v>29.666333333333334</v>
      </c>
      <c r="I21" s="156">
        <f>E21/36</f>
        <v>24.721944444444446</v>
      </c>
    </row>
    <row r="22" spans="1:9" ht="37.5" x14ac:dyDescent="0.25">
      <c r="A22" s="160" t="s">
        <v>805</v>
      </c>
      <c r="B22" s="160">
        <v>7013186</v>
      </c>
      <c r="C22" s="193" t="s">
        <v>806</v>
      </c>
      <c r="D22" s="160" t="s">
        <v>513</v>
      </c>
      <c r="E22" s="156">
        <v>889.99</v>
      </c>
      <c r="F22" s="156">
        <f>E22/12</f>
        <v>74.165833333333339</v>
      </c>
      <c r="G22" s="156">
        <f>E22/24</f>
        <v>37.082916666666669</v>
      </c>
      <c r="H22" s="156">
        <f>E22/30</f>
        <v>29.666333333333334</v>
      </c>
      <c r="I22" s="156">
        <f>E22/36</f>
        <v>24.721944444444446</v>
      </c>
    </row>
    <row r="23" spans="1:9" ht="37.5" x14ac:dyDescent="0.25">
      <c r="A23" s="160" t="s">
        <v>807</v>
      </c>
      <c r="B23" s="160">
        <v>7013187</v>
      </c>
      <c r="C23" s="193" t="s">
        <v>808</v>
      </c>
      <c r="D23" s="160" t="s">
        <v>513</v>
      </c>
      <c r="E23" s="156">
        <v>889.99</v>
      </c>
      <c r="F23" s="156">
        <f>E23/12</f>
        <v>74.165833333333339</v>
      </c>
      <c r="G23" s="156">
        <f>E23/24</f>
        <v>37.082916666666669</v>
      </c>
      <c r="H23" s="156">
        <f>E23/30</f>
        <v>29.666333333333334</v>
      </c>
      <c r="I23" s="156">
        <f>E23/36</f>
        <v>24.721944444444446</v>
      </c>
    </row>
    <row r="24" spans="1:9" ht="37.5" x14ac:dyDescent="0.25">
      <c r="A24" s="160" t="s">
        <v>565</v>
      </c>
      <c r="B24" s="160">
        <v>7012401</v>
      </c>
      <c r="C24" s="192" t="s">
        <v>566</v>
      </c>
      <c r="D24" s="160" t="s">
        <v>513</v>
      </c>
      <c r="E24" s="156">
        <v>1269.99</v>
      </c>
      <c r="F24" s="156">
        <f t="shared" si="4"/>
        <v>105.8325</v>
      </c>
      <c r="G24" s="156">
        <f t="shared" si="5"/>
        <v>52.916249999999998</v>
      </c>
      <c r="H24" s="156">
        <f t="shared" si="6"/>
        <v>42.332999999999998</v>
      </c>
      <c r="I24" s="156">
        <f t="shared" si="7"/>
        <v>35.277500000000003</v>
      </c>
    </row>
    <row r="25" spans="1:9" ht="37.5" x14ac:dyDescent="0.25">
      <c r="A25" s="160" t="s">
        <v>567</v>
      </c>
      <c r="B25" s="160">
        <v>7012423</v>
      </c>
      <c r="C25" s="192" t="s">
        <v>568</v>
      </c>
      <c r="D25" s="160" t="s">
        <v>513</v>
      </c>
      <c r="E25" s="156">
        <v>1269.99</v>
      </c>
      <c r="F25" s="156">
        <f t="shared" si="4"/>
        <v>105.8325</v>
      </c>
      <c r="G25" s="156">
        <f t="shared" si="5"/>
        <v>52.916249999999998</v>
      </c>
      <c r="H25" s="156">
        <f t="shared" si="6"/>
        <v>42.332999999999998</v>
      </c>
      <c r="I25" s="156">
        <f t="shared" si="7"/>
        <v>35.277500000000003</v>
      </c>
    </row>
    <row r="26" spans="1:9" ht="37.5" x14ac:dyDescent="0.25">
      <c r="A26" s="160" t="s">
        <v>569</v>
      </c>
      <c r="B26" s="160">
        <v>7012402</v>
      </c>
      <c r="C26" s="192" t="s">
        <v>570</v>
      </c>
      <c r="D26" s="160" t="s">
        <v>513</v>
      </c>
      <c r="E26" s="156">
        <v>1589.99</v>
      </c>
      <c r="F26" s="156">
        <f t="shared" si="4"/>
        <v>132.49916666666667</v>
      </c>
      <c r="G26" s="156">
        <f t="shared" si="5"/>
        <v>66.249583333333334</v>
      </c>
      <c r="H26" s="156">
        <f t="shared" si="6"/>
        <v>52.99966666666667</v>
      </c>
      <c r="I26" s="156">
        <f t="shared" si="7"/>
        <v>44.166388888888889</v>
      </c>
    </row>
    <row r="27" spans="1:9" ht="37.5" x14ac:dyDescent="0.25">
      <c r="A27" s="160" t="s">
        <v>571</v>
      </c>
      <c r="B27" s="160">
        <v>7012311</v>
      </c>
      <c r="C27" s="192" t="s">
        <v>572</v>
      </c>
      <c r="D27" s="160" t="s">
        <v>513</v>
      </c>
      <c r="E27" s="156">
        <v>1589.99</v>
      </c>
      <c r="F27" s="156">
        <f t="shared" si="4"/>
        <v>132.49916666666667</v>
      </c>
      <c r="G27" s="156">
        <f t="shared" si="5"/>
        <v>66.249583333333334</v>
      </c>
      <c r="H27" s="156">
        <f t="shared" si="6"/>
        <v>52.99966666666667</v>
      </c>
      <c r="I27" s="156">
        <f t="shared" si="7"/>
        <v>44.166388888888889</v>
      </c>
    </row>
  </sheetData>
  <autoFilter ref="A5:J27" xr:uid="{65AD2BA1-E850-4AFF-A391-CE9DAB12644E}"/>
  <sortState xmlns:xlrd2="http://schemas.microsoft.com/office/spreadsheetml/2017/richdata2" ref="A7:I27">
    <sortCondition ref="E7:E27"/>
  </sortState>
  <mergeCells count="2">
    <mergeCell ref="A3:F3"/>
    <mergeCell ref="A4:D4"/>
  </mergeCells>
  <phoneticPr fontId="37" type="noConversion"/>
  <conditionalFormatting sqref="A6">
    <cfRule type="duplicateValues" dxfId="109" priority="1"/>
    <cfRule type="duplicateValues" dxfId="108" priority="3"/>
    <cfRule type="duplicateValues" dxfId="107" priority="4"/>
  </conditionalFormatting>
  <conditionalFormatting sqref="B6">
    <cfRule type="duplicateValues" dxfId="106" priority="2"/>
    <cfRule type="duplicateValues" dxfId="105" priority="5"/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1"/>
  <sheetViews>
    <sheetView topLeftCell="A12" workbookViewId="0">
      <selection activeCell="E32" sqref="E32"/>
    </sheetView>
  </sheetViews>
  <sheetFormatPr defaultRowHeight="15.75" x14ac:dyDescent="0.25"/>
  <cols>
    <col min="1" max="1" width="16.28515625" style="1" customWidth="1"/>
    <col min="2" max="2" width="18.85546875" style="1" customWidth="1"/>
    <col min="3" max="3" width="47.42578125" customWidth="1"/>
    <col min="4" max="4" width="14.140625" customWidth="1"/>
  </cols>
  <sheetData>
    <row r="1" spans="1:12" ht="18.95" customHeight="1" x14ac:dyDescent="0.3">
      <c r="A1" s="2" t="s">
        <v>119</v>
      </c>
      <c r="B1" s="3"/>
      <c r="D1" s="2"/>
      <c r="E1" s="5"/>
      <c r="F1" s="5"/>
      <c r="G1" s="5"/>
      <c r="H1" s="5"/>
      <c r="I1" s="5"/>
      <c r="J1" s="5"/>
      <c r="K1" s="5"/>
      <c r="L1" s="5"/>
    </row>
    <row r="2" spans="1:12" ht="18.95" customHeight="1" x14ac:dyDescent="0.35">
      <c r="A2" s="6" t="s">
        <v>0</v>
      </c>
      <c r="B2" s="3"/>
      <c r="D2" s="6"/>
      <c r="E2" s="5"/>
      <c r="F2" s="5"/>
      <c r="G2" s="5"/>
      <c r="H2" s="5"/>
      <c r="I2" s="5"/>
      <c r="J2" s="5"/>
      <c r="K2" s="5"/>
      <c r="L2" s="5"/>
    </row>
    <row r="3" spans="1:12" ht="18.95" customHeight="1" x14ac:dyDescent="0.3">
      <c r="A3" s="84" t="s">
        <v>509</v>
      </c>
      <c r="B3" s="3"/>
      <c r="D3" s="32"/>
      <c r="E3" s="32"/>
      <c r="F3" s="32"/>
      <c r="G3" s="32"/>
      <c r="H3" s="32"/>
      <c r="I3" s="32"/>
      <c r="J3" s="32"/>
      <c r="K3" s="32"/>
      <c r="L3" s="32"/>
    </row>
    <row r="4" spans="1:12" ht="18.95" customHeight="1" thickBot="1" x14ac:dyDescent="0.3">
      <c r="A4" s="61"/>
      <c r="B4" s="61"/>
      <c r="E4" s="8"/>
      <c r="F4" s="8"/>
      <c r="G4" s="8"/>
      <c r="H4" s="8"/>
      <c r="I4" s="8"/>
      <c r="J4" s="8"/>
      <c r="K4" s="8"/>
      <c r="L4" s="8"/>
    </row>
    <row r="5" spans="1:12" s="1" customFormat="1" ht="16.5" thickBot="1" x14ac:dyDescent="0.3">
      <c r="A5" s="9"/>
      <c r="B5" s="9"/>
      <c r="C5" s="10"/>
      <c r="D5" s="10"/>
    </row>
    <row r="6" spans="1:12" s="11" customFormat="1" ht="45" x14ac:dyDescent="0.2">
      <c r="A6" s="63"/>
      <c r="B6" s="63"/>
      <c r="C6" s="62"/>
      <c r="D6" s="13" t="s">
        <v>120</v>
      </c>
    </row>
    <row r="7" spans="1:12" ht="62.25" customHeight="1" x14ac:dyDescent="0.25">
      <c r="A7" s="13" t="s">
        <v>2</v>
      </c>
      <c r="B7" s="13" t="s">
        <v>3</v>
      </c>
      <c r="C7" s="25" t="s">
        <v>4</v>
      </c>
      <c r="D7" s="64" t="s">
        <v>121</v>
      </c>
    </row>
    <row r="8" spans="1:12" s="19" customFormat="1" ht="19.5" customHeight="1" x14ac:dyDescent="0.25">
      <c r="A8" s="66" t="s">
        <v>6</v>
      </c>
      <c r="B8" s="66"/>
      <c r="C8" s="66"/>
      <c r="D8" s="23"/>
    </row>
    <row r="9" spans="1:12" ht="15" x14ac:dyDescent="0.25">
      <c r="A9" s="14" t="s">
        <v>7</v>
      </c>
      <c r="B9" s="14">
        <v>70004749</v>
      </c>
      <c r="C9" s="22" t="s">
        <v>8</v>
      </c>
      <c r="D9" s="26">
        <v>0</v>
      </c>
    </row>
    <row r="10" spans="1:12" s="19" customFormat="1" ht="15" x14ac:dyDescent="0.25">
      <c r="A10" s="15" t="s">
        <v>193</v>
      </c>
      <c r="B10" s="16">
        <v>70007623</v>
      </c>
      <c r="C10" s="73" t="s">
        <v>194</v>
      </c>
      <c r="D10" s="73">
        <v>0</v>
      </c>
    </row>
    <row r="11" spans="1:12" ht="16.5" customHeight="1" x14ac:dyDescent="0.25">
      <c r="A11" s="66" t="s">
        <v>18</v>
      </c>
      <c r="B11" s="66"/>
      <c r="C11" s="66"/>
      <c r="D11" s="66"/>
    </row>
    <row r="12" spans="1:12" s="19" customFormat="1" ht="15" x14ac:dyDescent="0.25">
      <c r="A12" s="15" t="s">
        <v>259</v>
      </c>
      <c r="B12" s="15">
        <v>70007852</v>
      </c>
      <c r="C12" s="16" t="s">
        <v>260</v>
      </c>
      <c r="D12" s="17">
        <v>0</v>
      </c>
    </row>
    <row r="13" spans="1:12" s="19" customFormat="1" ht="15" x14ac:dyDescent="0.25">
      <c r="A13" s="15" t="s">
        <v>293</v>
      </c>
      <c r="B13" s="15">
        <v>70007893</v>
      </c>
      <c r="C13" s="16" t="s">
        <v>294</v>
      </c>
      <c r="D13" s="17">
        <v>0</v>
      </c>
    </row>
    <row r="14" spans="1:12" ht="20.25" customHeight="1" x14ac:dyDescent="0.25">
      <c r="A14" s="66" t="s">
        <v>20</v>
      </c>
      <c r="B14" s="66"/>
      <c r="C14" s="66"/>
      <c r="D14" s="66"/>
    </row>
    <row r="15" spans="1:12" ht="15" customHeight="1" x14ac:dyDescent="0.25">
      <c r="A15" s="14" t="s">
        <v>21</v>
      </c>
      <c r="B15" s="14">
        <v>70004759</v>
      </c>
      <c r="C15" s="22" t="s">
        <v>22</v>
      </c>
      <c r="D15" s="20">
        <v>0</v>
      </c>
    </row>
    <row r="16" spans="1:12" ht="20.45" hidden="1" customHeight="1" x14ac:dyDescent="0.25">
      <c r="A16" s="66" t="s">
        <v>23</v>
      </c>
      <c r="B16" s="66"/>
      <c r="C16" s="66"/>
      <c r="D16" s="66"/>
    </row>
    <row r="17" spans="1:4" ht="20.100000000000001" hidden="1" customHeight="1" x14ac:dyDescent="0.25">
      <c r="A17" s="66" t="s">
        <v>36</v>
      </c>
      <c r="B17" s="66"/>
      <c r="C17" s="66"/>
      <c r="D17" s="66"/>
    </row>
    <row r="18" spans="1:4" ht="20.25" customHeight="1" x14ac:dyDescent="0.25">
      <c r="A18" s="66" t="s">
        <v>37</v>
      </c>
      <c r="B18" s="66"/>
      <c r="C18" s="66"/>
      <c r="D18" s="66"/>
    </row>
    <row r="19" spans="1:4" x14ac:dyDescent="0.25">
      <c r="A19" s="65" t="s">
        <v>38</v>
      </c>
      <c r="B19" s="65">
        <v>70006532</v>
      </c>
      <c r="C19" s="22" t="s">
        <v>39</v>
      </c>
      <c r="D19" s="20">
        <v>0</v>
      </c>
    </row>
    <row r="20" spans="1:4" ht="20.25" customHeight="1" x14ac:dyDescent="0.25">
      <c r="A20" s="66" t="s">
        <v>122</v>
      </c>
      <c r="B20" s="66"/>
      <c r="C20" s="66"/>
      <c r="D20" s="66"/>
    </row>
    <row r="21" spans="1:4" x14ac:dyDescent="0.25">
      <c r="A21" s="65" t="s">
        <v>72</v>
      </c>
      <c r="B21" s="65">
        <v>70002592</v>
      </c>
      <c r="C21" s="22" t="s">
        <v>74</v>
      </c>
      <c r="D21" s="20">
        <v>0</v>
      </c>
    </row>
    <row r="22" spans="1:4" x14ac:dyDescent="0.25">
      <c r="A22" s="65" t="s">
        <v>69</v>
      </c>
      <c r="B22" s="65">
        <v>70002534</v>
      </c>
      <c r="C22" s="22" t="s">
        <v>71</v>
      </c>
      <c r="D22" s="20">
        <v>0</v>
      </c>
    </row>
    <row r="23" spans="1:4" x14ac:dyDescent="0.25">
      <c r="A23" s="65" t="s">
        <v>66</v>
      </c>
      <c r="B23" s="65">
        <v>70001652</v>
      </c>
      <c r="C23" s="22" t="s">
        <v>68</v>
      </c>
      <c r="D23" s="20">
        <v>0</v>
      </c>
    </row>
    <row r="24" spans="1:4" x14ac:dyDescent="0.25">
      <c r="A24" s="54"/>
      <c r="B24" s="54"/>
    </row>
    <row r="25" spans="1:4" x14ac:dyDescent="0.25">
      <c r="A25" s="54"/>
      <c r="B25" s="54"/>
    </row>
    <row r="26" spans="1:4" x14ac:dyDescent="0.25">
      <c r="A26" s="54"/>
      <c r="B26" s="54"/>
    </row>
    <row r="27" spans="1:4" x14ac:dyDescent="0.25">
      <c r="A27" s="54"/>
      <c r="B27" s="54"/>
    </row>
    <row r="28" spans="1:4" x14ac:dyDescent="0.25">
      <c r="A28" s="54"/>
      <c r="B28" s="54"/>
    </row>
    <row r="29" spans="1:4" x14ac:dyDescent="0.25">
      <c r="A29" s="54"/>
      <c r="B29" s="54"/>
    </row>
    <row r="30" spans="1:4" x14ac:dyDescent="0.25">
      <c r="A30" s="54"/>
      <c r="B30" s="54"/>
    </row>
    <row r="31" spans="1:4" x14ac:dyDescent="0.25">
      <c r="A31" s="54"/>
      <c r="B31" s="54"/>
    </row>
  </sheetData>
  <conditionalFormatting sqref="A19">
    <cfRule type="duplicateValues" dxfId="104" priority="3"/>
  </conditionalFormatting>
  <conditionalFormatting sqref="A21">
    <cfRule type="duplicateValues" dxfId="103" priority="13"/>
  </conditionalFormatting>
  <conditionalFormatting sqref="A22:A23">
    <cfRule type="duplicateValues" dxfId="102" priority="18"/>
  </conditionalFormatting>
  <conditionalFormatting sqref="B19">
    <cfRule type="duplicateValues" dxfId="101" priority="2"/>
  </conditionalFormatting>
  <conditionalFormatting sqref="B21:B23">
    <cfRule type="duplicateValues" dxfId="100" priority="11"/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24"/>
  <sheetViews>
    <sheetView topLeftCell="B140" workbookViewId="0">
      <selection activeCell="B3" sqref="B3"/>
    </sheetView>
  </sheetViews>
  <sheetFormatPr defaultRowHeight="15.75" x14ac:dyDescent="0.25"/>
  <cols>
    <col min="1" max="1" width="17.140625" style="1" hidden="1" customWidth="1"/>
    <col min="2" max="2" width="17" style="1" customWidth="1"/>
    <col min="3" max="3" width="21.140625" style="1" customWidth="1"/>
    <col min="4" max="4" width="48.5703125" customWidth="1"/>
    <col min="5" max="5" width="14" style="4" customWidth="1"/>
  </cols>
  <sheetData>
    <row r="1" spans="1:13" ht="20.25" x14ac:dyDescent="0.25">
      <c r="B1" s="2" t="s">
        <v>123</v>
      </c>
      <c r="C1" s="3"/>
    </row>
    <row r="2" spans="1:13" ht="21" x14ac:dyDescent="0.35">
      <c r="B2" s="6" t="s">
        <v>0</v>
      </c>
      <c r="C2" s="3"/>
    </row>
    <row r="3" spans="1:13" ht="21" x14ac:dyDescent="0.3">
      <c r="B3" s="84" t="s">
        <v>509</v>
      </c>
      <c r="C3" s="3"/>
      <c r="E3" s="32"/>
      <c r="F3" s="32"/>
      <c r="G3" s="32"/>
      <c r="H3" s="32"/>
      <c r="I3" s="32"/>
      <c r="J3" s="32"/>
      <c r="K3" s="32"/>
      <c r="L3" s="32"/>
      <c r="M3" s="32"/>
    </row>
    <row r="4" spans="1:13" ht="15" x14ac:dyDescent="0.25">
      <c r="A4"/>
      <c r="B4" s="61"/>
      <c r="C4" s="61"/>
    </row>
    <row r="5" spans="1:13" s="1" customFormat="1" x14ac:dyDescent="0.25">
      <c r="A5" s="67"/>
      <c r="B5" s="68"/>
      <c r="C5" s="68"/>
      <c r="D5" s="69"/>
      <c r="E5" s="69"/>
    </row>
    <row r="6" spans="1:13" s="11" customFormat="1" ht="45" x14ac:dyDescent="0.2">
      <c r="A6" s="62"/>
      <c r="B6" s="63"/>
      <c r="C6" s="63"/>
      <c r="D6" s="62"/>
      <c r="E6" s="13" t="s">
        <v>120</v>
      </c>
    </row>
    <row r="7" spans="1:13" ht="72.75" customHeight="1" x14ac:dyDescent="0.25">
      <c r="A7" s="13" t="s">
        <v>1</v>
      </c>
      <c r="B7" s="13" t="s">
        <v>2</v>
      </c>
      <c r="C7" s="13" t="s">
        <v>3</v>
      </c>
      <c r="D7" s="25" t="s">
        <v>4</v>
      </c>
      <c r="E7" s="64" t="s">
        <v>5</v>
      </c>
    </row>
    <row r="8" spans="1:13" ht="22.5" customHeight="1" x14ac:dyDescent="0.25">
      <c r="A8" s="66" t="s">
        <v>9</v>
      </c>
      <c r="B8" s="66" t="s">
        <v>9</v>
      </c>
      <c r="C8" s="66"/>
      <c r="D8" s="66"/>
      <c r="E8" s="66"/>
    </row>
    <row r="9" spans="1:13" ht="15" x14ac:dyDescent="0.25">
      <c r="A9" s="21"/>
      <c r="B9" s="14" t="s">
        <v>401</v>
      </c>
      <c r="C9" s="14">
        <v>7008341</v>
      </c>
      <c r="D9" s="21" t="s">
        <v>402</v>
      </c>
      <c r="E9" s="90">
        <v>1399.99</v>
      </c>
    </row>
    <row r="10" spans="1:13" ht="15" x14ac:dyDescent="0.25">
      <c r="A10" s="21"/>
      <c r="B10" s="14" t="s">
        <v>403</v>
      </c>
      <c r="C10" s="14">
        <v>7008342</v>
      </c>
      <c r="D10" s="21" t="s">
        <v>404</v>
      </c>
      <c r="E10" s="90">
        <v>1399.99</v>
      </c>
    </row>
    <row r="11" spans="1:13" ht="15" x14ac:dyDescent="0.25">
      <c r="A11" s="21"/>
      <c r="B11" s="14" t="s">
        <v>405</v>
      </c>
      <c r="C11" s="14">
        <v>7008343</v>
      </c>
      <c r="D11" s="21" t="s">
        <v>406</v>
      </c>
      <c r="E11" s="90">
        <v>1399.99</v>
      </c>
    </row>
    <row r="12" spans="1:13" ht="15" x14ac:dyDescent="0.25">
      <c r="A12" s="21"/>
      <c r="B12" s="14" t="s">
        <v>407</v>
      </c>
      <c r="C12" s="14">
        <v>7008344</v>
      </c>
      <c r="D12" s="21" t="s">
        <v>408</v>
      </c>
      <c r="E12" s="90">
        <v>1399.99</v>
      </c>
    </row>
    <row r="13" spans="1:13" ht="15" x14ac:dyDescent="0.25">
      <c r="A13" s="21"/>
      <c r="B13" s="14" t="s">
        <v>459</v>
      </c>
      <c r="C13" s="14">
        <v>7008243</v>
      </c>
      <c r="D13" s="93" t="s">
        <v>432</v>
      </c>
      <c r="E13" s="90">
        <v>1299.99</v>
      </c>
    </row>
    <row r="14" spans="1:13" ht="15" x14ac:dyDescent="0.25">
      <c r="A14" s="21"/>
      <c r="B14" s="14" t="s">
        <v>460</v>
      </c>
      <c r="C14" s="14">
        <v>7008244</v>
      </c>
      <c r="D14" s="93" t="s">
        <v>433</v>
      </c>
      <c r="E14" s="90">
        <v>1299.99</v>
      </c>
    </row>
    <row r="15" spans="1:13" ht="15" x14ac:dyDescent="0.25">
      <c r="A15" s="21"/>
      <c r="B15" s="14" t="s">
        <v>461</v>
      </c>
      <c r="C15" s="14">
        <v>7008245</v>
      </c>
      <c r="D15" s="93" t="s">
        <v>434</v>
      </c>
      <c r="E15" s="90">
        <v>1299.99</v>
      </c>
    </row>
    <row r="16" spans="1:13" ht="15" x14ac:dyDescent="0.25">
      <c r="A16" s="21"/>
      <c r="B16" s="14" t="s">
        <v>462</v>
      </c>
      <c r="C16" s="14">
        <v>7008266</v>
      </c>
      <c r="D16" s="93" t="s">
        <v>435</v>
      </c>
      <c r="E16" s="90">
        <v>1299.99</v>
      </c>
    </row>
    <row r="17" spans="1:5" ht="15" x14ac:dyDescent="0.25">
      <c r="A17" s="21"/>
      <c r="B17" s="14" t="s">
        <v>393</v>
      </c>
      <c r="C17" s="14">
        <v>7008337</v>
      </c>
      <c r="D17" s="21" t="s">
        <v>394</v>
      </c>
      <c r="E17" s="90">
        <v>1199.99</v>
      </c>
    </row>
    <row r="18" spans="1:5" ht="15" x14ac:dyDescent="0.25">
      <c r="A18" s="21"/>
      <c r="B18" s="14" t="s">
        <v>395</v>
      </c>
      <c r="C18" s="14">
        <v>7008338</v>
      </c>
      <c r="D18" s="21" t="s">
        <v>396</v>
      </c>
      <c r="E18" s="90">
        <v>1199.99</v>
      </c>
    </row>
    <row r="19" spans="1:5" ht="15" x14ac:dyDescent="0.25">
      <c r="A19" s="21"/>
      <c r="B19" s="14" t="s">
        <v>397</v>
      </c>
      <c r="C19" s="14">
        <v>7008339</v>
      </c>
      <c r="D19" s="21" t="s">
        <v>398</v>
      </c>
      <c r="E19" s="90">
        <v>1199.99</v>
      </c>
    </row>
    <row r="20" spans="1:5" ht="15" x14ac:dyDescent="0.25">
      <c r="A20" s="21"/>
      <c r="B20" s="14" t="s">
        <v>399</v>
      </c>
      <c r="C20" s="14">
        <v>7008340</v>
      </c>
      <c r="D20" s="21" t="s">
        <v>400</v>
      </c>
      <c r="E20" s="90">
        <v>1199.99</v>
      </c>
    </row>
    <row r="21" spans="1:5" ht="15" x14ac:dyDescent="0.25">
      <c r="A21" s="21"/>
      <c r="B21" s="14" t="s">
        <v>247</v>
      </c>
      <c r="C21" s="14">
        <v>70007760</v>
      </c>
      <c r="D21" s="21" t="s">
        <v>249</v>
      </c>
      <c r="E21" s="90">
        <v>1149.99</v>
      </c>
    </row>
    <row r="22" spans="1:5" ht="15" x14ac:dyDescent="0.25">
      <c r="A22" s="21"/>
      <c r="B22" s="14" t="s">
        <v>248</v>
      </c>
      <c r="C22" s="14">
        <v>70007761</v>
      </c>
      <c r="D22" s="21" t="s">
        <v>250</v>
      </c>
      <c r="E22" s="90">
        <v>1149.99</v>
      </c>
    </row>
    <row r="23" spans="1:5" ht="15" x14ac:dyDescent="0.25">
      <c r="A23" s="21"/>
      <c r="B23" s="14" t="s">
        <v>159</v>
      </c>
      <c r="C23" s="14">
        <v>70006888</v>
      </c>
      <c r="D23" s="21" t="s">
        <v>160</v>
      </c>
      <c r="E23" s="90">
        <v>1139.99</v>
      </c>
    </row>
    <row r="24" spans="1:5" ht="15" x14ac:dyDescent="0.25">
      <c r="A24" s="21"/>
      <c r="B24" s="14" t="s">
        <v>161</v>
      </c>
      <c r="C24" s="14">
        <v>70006889</v>
      </c>
      <c r="D24" s="21" t="s">
        <v>162</v>
      </c>
      <c r="E24" s="90">
        <v>1139.99</v>
      </c>
    </row>
    <row r="25" spans="1:5" ht="15" x14ac:dyDescent="0.25">
      <c r="A25" s="21"/>
      <c r="B25" s="14" t="s">
        <v>163</v>
      </c>
      <c r="C25" s="14">
        <v>70006890</v>
      </c>
      <c r="D25" s="21" t="s">
        <v>164</v>
      </c>
      <c r="E25" s="90">
        <v>1139.99</v>
      </c>
    </row>
    <row r="26" spans="1:5" ht="15" x14ac:dyDescent="0.25">
      <c r="A26" s="21"/>
      <c r="B26" s="14" t="s">
        <v>385</v>
      </c>
      <c r="C26" s="14">
        <v>7008213</v>
      </c>
      <c r="D26" s="21" t="s">
        <v>386</v>
      </c>
      <c r="E26" s="90">
        <v>1099.99</v>
      </c>
    </row>
    <row r="27" spans="1:5" ht="15" x14ac:dyDescent="0.25">
      <c r="A27" s="21"/>
      <c r="B27" s="14" t="s">
        <v>387</v>
      </c>
      <c r="C27" s="14">
        <v>7008214</v>
      </c>
      <c r="D27" s="21" t="s">
        <v>388</v>
      </c>
      <c r="E27" s="90">
        <v>1099.99</v>
      </c>
    </row>
    <row r="28" spans="1:5" ht="15" x14ac:dyDescent="0.25">
      <c r="A28" s="21"/>
      <c r="B28" s="14" t="s">
        <v>389</v>
      </c>
      <c r="C28" s="14">
        <v>7008215</v>
      </c>
      <c r="D28" s="21" t="s">
        <v>390</v>
      </c>
      <c r="E28" s="90">
        <v>1099.99</v>
      </c>
    </row>
    <row r="29" spans="1:5" ht="15" x14ac:dyDescent="0.25">
      <c r="A29" s="21"/>
      <c r="B29" s="14" t="s">
        <v>391</v>
      </c>
      <c r="C29" s="14">
        <v>7008336</v>
      </c>
      <c r="D29" s="21" t="s">
        <v>392</v>
      </c>
      <c r="E29" s="90">
        <v>1099.99</v>
      </c>
    </row>
    <row r="30" spans="1:5" ht="15" x14ac:dyDescent="0.25">
      <c r="A30" s="21"/>
      <c r="B30" s="14" t="s">
        <v>455</v>
      </c>
      <c r="C30" s="14">
        <v>7008239</v>
      </c>
      <c r="D30" s="93" t="s">
        <v>428</v>
      </c>
      <c r="E30" s="90">
        <v>1099.99</v>
      </c>
    </row>
    <row r="31" spans="1:5" ht="15" x14ac:dyDescent="0.25">
      <c r="A31" s="21"/>
      <c r="B31" s="14" t="s">
        <v>456</v>
      </c>
      <c r="C31" s="14">
        <v>7008240</v>
      </c>
      <c r="D31" s="93" t="s">
        <v>429</v>
      </c>
      <c r="E31" s="90">
        <v>1099.99</v>
      </c>
    </row>
    <row r="32" spans="1:5" ht="15" x14ac:dyDescent="0.25">
      <c r="A32" s="21"/>
      <c r="B32" s="14" t="s">
        <v>457</v>
      </c>
      <c r="C32" s="14">
        <v>7008241</v>
      </c>
      <c r="D32" s="93" t="s">
        <v>430</v>
      </c>
      <c r="E32" s="90">
        <v>1099.99</v>
      </c>
    </row>
    <row r="33" spans="1:5" ht="15" x14ac:dyDescent="0.25">
      <c r="A33" s="21"/>
      <c r="B33" s="14" t="s">
        <v>458</v>
      </c>
      <c r="C33" s="14">
        <v>7008242</v>
      </c>
      <c r="D33" s="93" t="s">
        <v>431</v>
      </c>
      <c r="E33" s="90">
        <v>1099.99</v>
      </c>
    </row>
    <row r="34" spans="1:5" ht="15" x14ac:dyDescent="0.25">
      <c r="A34" s="21"/>
      <c r="B34" s="14" t="s">
        <v>235</v>
      </c>
      <c r="C34" s="14">
        <v>70007758</v>
      </c>
      <c r="D34" s="21" t="s">
        <v>237</v>
      </c>
      <c r="E34" s="90">
        <v>1049.99</v>
      </c>
    </row>
    <row r="35" spans="1:5" ht="15" x14ac:dyDescent="0.25">
      <c r="A35" s="21"/>
      <c r="B35" s="14" t="s">
        <v>236</v>
      </c>
      <c r="C35" s="14">
        <v>70007759</v>
      </c>
      <c r="D35" s="21" t="s">
        <v>238</v>
      </c>
      <c r="E35" s="90">
        <v>1049.99</v>
      </c>
    </row>
    <row r="36" spans="1:5" ht="15" x14ac:dyDescent="0.25">
      <c r="A36" s="21"/>
      <c r="B36" s="14" t="s">
        <v>451</v>
      </c>
      <c r="C36" s="14">
        <v>7008235</v>
      </c>
      <c r="D36" s="93" t="s">
        <v>424</v>
      </c>
      <c r="E36" s="90">
        <v>999.99</v>
      </c>
    </row>
    <row r="37" spans="1:5" ht="15" x14ac:dyDescent="0.25">
      <c r="A37" s="21"/>
      <c r="B37" s="14" t="s">
        <v>452</v>
      </c>
      <c r="C37" s="14">
        <v>7008236</v>
      </c>
      <c r="D37" s="93" t="s">
        <v>425</v>
      </c>
      <c r="E37" s="90">
        <v>999.99</v>
      </c>
    </row>
    <row r="38" spans="1:5" ht="15" x14ac:dyDescent="0.25">
      <c r="A38" s="21"/>
      <c r="B38" s="21" t="s">
        <v>453</v>
      </c>
      <c r="C38" s="14">
        <v>7008237</v>
      </c>
      <c r="D38" s="93" t="s">
        <v>426</v>
      </c>
      <c r="E38" s="90">
        <v>999.99</v>
      </c>
    </row>
    <row r="39" spans="1:5" ht="15" x14ac:dyDescent="0.25">
      <c r="A39" s="21"/>
      <c r="B39" s="21" t="s">
        <v>454</v>
      </c>
      <c r="C39" s="14">
        <v>7008238</v>
      </c>
      <c r="D39" s="93" t="s">
        <v>427</v>
      </c>
      <c r="E39" s="90">
        <v>999.99</v>
      </c>
    </row>
    <row r="40" spans="1:5" ht="15" x14ac:dyDescent="0.25">
      <c r="A40" s="21"/>
      <c r="B40" s="21" t="s">
        <v>239</v>
      </c>
      <c r="C40" s="14">
        <v>70007762</v>
      </c>
      <c r="D40" s="21" t="s">
        <v>243</v>
      </c>
      <c r="E40" s="90">
        <v>999.99</v>
      </c>
    </row>
    <row r="41" spans="1:5" ht="15" x14ac:dyDescent="0.25">
      <c r="A41" s="21"/>
      <c r="B41" s="21" t="s">
        <v>240</v>
      </c>
      <c r="C41" s="14">
        <v>70007763</v>
      </c>
      <c r="D41" s="21" t="s">
        <v>244</v>
      </c>
      <c r="E41" s="90">
        <v>999.99</v>
      </c>
    </row>
    <row r="42" spans="1:5" ht="15" x14ac:dyDescent="0.25">
      <c r="A42" s="21"/>
      <c r="B42" s="21" t="s">
        <v>241</v>
      </c>
      <c r="C42" s="14">
        <v>70007764</v>
      </c>
      <c r="D42" s="21" t="s">
        <v>245</v>
      </c>
      <c r="E42" s="90">
        <v>999.99</v>
      </c>
    </row>
    <row r="43" spans="1:5" ht="15" x14ac:dyDescent="0.25">
      <c r="A43" s="21"/>
      <c r="B43" s="21" t="s">
        <v>242</v>
      </c>
      <c r="C43" s="14">
        <v>70007765</v>
      </c>
      <c r="D43" s="21" t="s">
        <v>246</v>
      </c>
      <c r="E43" s="90">
        <v>999.99</v>
      </c>
    </row>
    <row r="44" spans="1:5" ht="15" x14ac:dyDescent="0.25">
      <c r="A44" s="21"/>
      <c r="B44" s="21" t="s">
        <v>153</v>
      </c>
      <c r="C44" s="14">
        <v>70006885</v>
      </c>
      <c r="D44" s="21" t="s">
        <v>154</v>
      </c>
      <c r="E44" s="90">
        <v>999.99</v>
      </c>
    </row>
    <row r="45" spans="1:5" ht="15" x14ac:dyDescent="0.25">
      <c r="A45" s="21"/>
      <c r="B45" s="21" t="s">
        <v>155</v>
      </c>
      <c r="C45" s="14">
        <v>70006886</v>
      </c>
      <c r="D45" s="21" t="s">
        <v>156</v>
      </c>
      <c r="E45" s="90">
        <v>999.99</v>
      </c>
    </row>
    <row r="46" spans="1:5" ht="15" x14ac:dyDescent="0.25">
      <c r="A46" s="21"/>
      <c r="B46" s="21" t="s">
        <v>157</v>
      </c>
      <c r="C46" s="14">
        <v>70006887</v>
      </c>
      <c r="D46" s="21" t="s">
        <v>158</v>
      </c>
      <c r="E46" s="90">
        <v>999.99</v>
      </c>
    </row>
    <row r="47" spans="1:5" ht="15" x14ac:dyDescent="0.25">
      <c r="A47" s="21"/>
      <c r="B47" s="21" t="s">
        <v>171</v>
      </c>
      <c r="C47" s="14">
        <v>70006897</v>
      </c>
      <c r="D47" s="21" t="s">
        <v>172</v>
      </c>
      <c r="E47" s="90">
        <v>999.99</v>
      </c>
    </row>
    <row r="48" spans="1:5" ht="15" x14ac:dyDescent="0.25">
      <c r="A48" s="21"/>
      <c r="B48" s="21" t="s">
        <v>173</v>
      </c>
      <c r="C48" s="14">
        <v>70006898</v>
      </c>
      <c r="D48" s="21" t="s">
        <v>174</v>
      </c>
      <c r="E48" s="90">
        <v>999.99</v>
      </c>
    </row>
    <row r="49" spans="1:5" ht="15" x14ac:dyDescent="0.25">
      <c r="A49" s="21"/>
      <c r="B49" s="21" t="s">
        <v>175</v>
      </c>
      <c r="C49" s="14">
        <v>70006899</v>
      </c>
      <c r="D49" s="21" t="s">
        <v>176</v>
      </c>
      <c r="E49" s="90">
        <v>999.99</v>
      </c>
    </row>
    <row r="50" spans="1:5" ht="15" x14ac:dyDescent="0.25">
      <c r="A50" s="21"/>
      <c r="B50" s="21" t="s">
        <v>446</v>
      </c>
      <c r="C50" s="14">
        <v>7008230</v>
      </c>
      <c r="D50" s="93" t="s">
        <v>419</v>
      </c>
      <c r="E50" s="90">
        <v>949.99</v>
      </c>
    </row>
    <row r="51" spans="1:5" ht="15" x14ac:dyDescent="0.25">
      <c r="A51" s="21"/>
      <c r="B51" s="21" t="s">
        <v>447</v>
      </c>
      <c r="C51" s="14">
        <v>7008231</v>
      </c>
      <c r="D51" s="93" t="s">
        <v>420</v>
      </c>
      <c r="E51" s="90">
        <v>949.99</v>
      </c>
    </row>
    <row r="52" spans="1:5" ht="15" x14ac:dyDescent="0.25">
      <c r="A52" s="21"/>
      <c r="B52" s="21" t="s">
        <v>448</v>
      </c>
      <c r="C52" s="14">
        <v>7008232</v>
      </c>
      <c r="D52" s="93" t="s">
        <v>421</v>
      </c>
      <c r="E52" s="90">
        <v>949.99</v>
      </c>
    </row>
    <row r="53" spans="1:5" ht="15" x14ac:dyDescent="0.25">
      <c r="A53" s="21"/>
      <c r="B53" s="21" t="s">
        <v>449</v>
      </c>
      <c r="C53" s="14">
        <v>7008233</v>
      </c>
      <c r="D53" s="93" t="s">
        <v>422</v>
      </c>
      <c r="E53" s="90">
        <v>949.99</v>
      </c>
    </row>
    <row r="54" spans="1:5" ht="15" x14ac:dyDescent="0.25">
      <c r="A54" s="21"/>
      <c r="B54" s="21" t="s">
        <v>450</v>
      </c>
      <c r="C54" s="14">
        <v>7008234</v>
      </c>
      <c r="D54" s="93" t="s">
        <v>423</v>
      </c>
      <c r="E54" s="90">
        <v>949.99</v>
      </c>
    </row>
    <row r="55" spans="1:5" ht="15" x14ac:dyDescent="0.25">
      <c r="A55" s="21"/>
      <c r="B55" s="21" t="s">
        <v>227</v>
      </c>
      <c r="C55" s="14">
        <v>70007754</v>
      </c>
      <c r="D55" s="21" t="s">
        <v>231</v>
      </c>
      <c r="E55" s="90">
        <v>899.99</v>
      </c>
    </row>
    <row r="56" spans="1:5" ht="15" x14ac:dyDescent="0.25">
      <c r="A56" s="21"/>
      <c r="B56" s="21" t="s">
        <v>228</v>
      </c>
      <c r="C56" s="14">
        <v>70007755</v>
      </c>
      <c r="D56" s="21" t="s">
        <v>232</v>
      </c>
      <c r="E56" s="90">
        <v>899.99</v>
      </c>
    </row>
    <row r="57" spans="1:5" ht="15" x14ac:dyDescent="0.25">
      <c r="A57" s="21"/>
      <c r="B57" s="21" t="s">
        <v>229</v>
      </c>
      <c r="C57" s="14">
        <v>70007756</v>
      </c>
      <c r="D57" s="21" t="s">
        <v>233</v>
      </c>
      <c r="E57" s="90">
        <v>899.99</v>
      </c>
    </row>
    <row r="58" spans="1:5" ht="15" x14ac:dyDescent="0.25">
      <c r="A58" s="21"/>
      <c r="B58" s="21" t="s">
        <v>230</v>
      </c>
      <c r="C58" s="14">
        <v>70007757</v>
      </c>
      <c r="D58" s="21" t="s">
        <v>234</v>
      </c>
      <c r="E58" s="90">
        <v>899.99</v>
      </c>
    </row>
    <row r="59" spans="1:5" ht="15" x14ac:dyDescent="0.25">
      <c r="A59" s="21"/>
      <c r="B59" s="21" t="s">
        <v>165</v>
      </c>
      <c r="C59" s="14">
        <v>70006894</v>
      </c>
      <c r="D59" s="21" t="s">
        <v>166</v>
      </c>
      <c r="E59" s="90">
        <v>889.99</v>
      </c>
    </row>
    <row r="60" spans="1:5" ht="15" x14ac:dyDescent="0.25">
      <c r="A60" s="21"/>
      <c r="B60" s="21" t="s">
        <v>167</v>
      </c>
      <c r="C60" s="14">
        <v>70006895</v>
      </c>
      <c r="D60" s="21" t="s">
        <v>168</v>
      </c>
      <c r="E60" s="90">
        <v>889.99</v>
      </c>
    </row>
    <row r="61" spans="1:5" ht="15" x14ac:dyDescent="0.25">
      <c r="A61" s="21"/>
      <c r="B61" s="21" t="s">
        <v>169</v>
      </c>
      <c r="C61" s="14">
        <v>70006896</v>
      </c>
      <c r="D61" s="21" t="s">
        <v>170</v>
      </c>
      <c r="E61" s="90">
        <v>889.99</v>
      </c>
    </row>
    <row r="62" spans="1:5" ht="15" x14ac:dyDescent="0.25">
      <c r="A62" s="21"/>
      <c r="B62" s="21" t="s">
        <v>381</v>
      </c>
      <c r="C62" s="14">
        <v>7008319</v>
      </c>
      <c r="D62" s="21" t="s">
        <v>382</v>
      </c>
      <c r="E62" s="90">
        <v>849.99</v>
      </c>
    </row>
    <row r="63" spans="1:5" ht="15" x14ac:dyDescent="0.25">
      <c r="A63" s="21"/>
      <c r="B63" s="21" t="s">
        <v>383</v>
      </c>
      <c r="C63" s="14">
        <v>7008320</v>
      </c>
      <c r="D63" s="21" t="s">
        <v>384</v>
      </c>
      <c r="E63" s="90">
        <v>849.99</v>
      </c>
    </row>
    <row r="64" spans="1:5" ht="15" x14ac:dyDescent="0.25">
      <c r="A64" s="21"/>
      <c r="B64" s="21" t="s">
        <v>441</v>
      </c>
      <c r="C64" s="14">
        <v>7008225</v>
      </c>
      <c r="D64" s="93" t="s">
        <v>414</v>
      </c>
      <c r="E64" s="90">
        <v>849.99</v>
      </c>
    </row>
    <row r="65" spans="1:5" ht="15" x14ac:dyDescent="0.25">
      <c r="A65" s="21"/>
      <c r="B65" s="14" t="s">
        <v>442</v>
      </c>
      <c r="C65" s="14">
        <v>7008226</v>
      </c>
      <c r="D65" s="93" t="s">
        <v>415</v>
      </c>
      <c r="E65" s="90">
        <v>849.99</v>
      </c>
    </row>
    <row r="66" spans="1:5" ht="15" x14ac:dyDescent="0.25">
      <c r="A66" s="21"/>
      <c r="B66" s="14" t="s">
        <v>443</v>
      </c>
      <c r="C66" s="14">
        <v>7008227</v>
      </c>
      <c r="D66" s="93" t="s">
        <v>416</v>
      </c>
      <c r="E66" s="90">
        <v>849.99</v>
      </c>
    </row>
    <row r="67" spans="1:5" ht="15" x14ac:dyDescent="0.25">
      <c r="A67" s="21"/>
      <c r="B67" s="14" t="s">
        <v>444</v>
      </c>
      <c r="C67" s="14">
        <v>7008228</v>
      </c>
      <c r="D67" s="93" t="s">
        <v>417</v>
      </c>
      <c r="E67" s="90">
        <v>849.99</v>
      </c>
    </row>
    <row r="68" spans="1:5" ht="15" x14ac:dyDescent="0.25">
      <c r="A68" s="21"/>
      <c r="B68" s="14" t="s">
        <v>445</v>
      </c>
      <c r="C68" s="14">
        <v>7008229</v>
      </c>
      <c r="D68" s="93" t="s">
        <v>418</v>
      </c>
      <c r="E68" s="90">
        <v>849.99</v>
      </c>
    </row>
    <row r="69" spans="1:5" ht="15" x14ac:dyDescent="0.25">
      <c r="A69" s="21"/>
      <c r="B69" s="14" t="s">
        <v>436</v>
      </c>
      <c r="C69" s="14">
        <v>7008220</v>
      </c>
      <c r="D69" s="93" t="s">
        <v>409</v>
      </c>
      <c r="E69" s="90">
        <v>799.99</v>
      </c>
    </row>
    <row r="70" spans="1:5" ht="15" x14ac:dyDescent="0.25">
      <c r="A70" s="21"/>
      <c r="B70" s="14" t="s">
        <v>437</v>
      </c>
      <c r="C70" s="14">
        <v>7008221</v>
      </c>
      <c r="D70" s="93" t="s">
        <v>410</v>
      </c>
      <c r="E70" s="90">
        <v>799.99</v>
      </c>
    </row>
    <row r="71" spans="1:5" ht="15" x14ac:dyDescent="0.25">
      <c r="A71" s="21"/>
      <c r="B71" s="14" t="s">
        <v>438</v>
      </c>
      <c r="C71" s="14">
        <v>7008222</v>
      </c>
      <c r="D71" s="93" t="s">
        <v>411</v>
      </c>
      <c r="E71" s="90">
        <v>799.99</v>
      </c>
    </row>
    <row r="72" spans="1:5" ht="15" x14ac:dyDescent="0.25">
      <c r="A72" s="21"/>
      <c r="B72" s="14" t="s">
        <v>439</v>
      </c>
      <c r="C72" s="14">
        <v>7008223</v>
      </c>
      <c r="D72" s="93" t="s">
        <v>412</v>
      </c>
      <c r="E72" s="90">
        <v>799.99</v>
      </c>
    </row>
    <row r="73" spans="1:5" ht="15" x14ac:dyDescent="0.25">
      <c r="A73" s="21"/>
      <c r="B73" s="14" t="s">
        <v>440</v>
      </c>
      <c r="C73" s="14">
        <v>7008224</v>
      </c>
      <c r="D73" s="93" t="s">
        <v>413</v>
      </c>
      <c r="E73" s="90">
        <v>799.99</v>
      </c>
    </row>
    <row r="74" spans="1:5" ht="15" x14ac:dyDescent="0.25">
      <c r="A74" s="21"/>
      <c r="B74" s="14" t="s">
        <v>371</v>
      </c>
      <c r="C74" s="14">
        <v>7008326</v>
      </c>
      <c r="D74" s="21" t="s">
        <v>372</v>
      </c>
      <c r="E74" s="90">
        <v>749.99</v>
      </c>
    </row>
    <row r="75" spans="1:5" ht="15" x14ac:dyDescent="0.25">
      <c r="A75" s="21"/>
      <c r="B75" s="14" t="s">
        <v>373</v>
      </c>
      <c r="C75" s="14">
        <v>7008327</v>
      </c>
      <c r="D75" s="21" t="s">
        <v>374</v>
      </c>
      <c r="E75" s="90">
        <v>749.99</v>
      </c>
    </row>
    <row r="76" spans="1:5" ht="15" x14ac:dyDescent="0.25">
      <c r="A76" s="21"/>
      <c r="B76" s="14" t="s">
        <v>375</v>
      </c>
      <c r="C76" s="14">
        <v>7008328</v>
      </c>
      <c r="D76" s="21" t="s">
        <v>376</v>
      </c>
      <c r="E76" s="90">
        <v>749.99</v>
      </c>
    </row>
    <row r="77" spans="1:5" ht="15" x14ac:dyDescent="0.25">
      <c r="A77" s="21"/>
      <c r="B77" s="14" t="s">
        <v>377</v>
      </c>
      <c r="C77" s="14">
        <v>7008329</v>
      </c>
      <c r="D77" s="21" t="s">
        <v>378</v>
      </c>
      <c r="E77" s="90">
        <v>749.99</v>
      </c>
    </row>
    <row r="78" spans="1:5" ht="15" x14ac:dyDescent="0.25">
      <c r="A78" s="21"/>
      <c r="B78" s="14" t="s">
        <v>379</v>
      </c>
      <c r="C78" s="14">
        <v>7008330</v>
      </c>
      <c r="D78" s="21" t="s">
        <v>380</v>
      </c>
      <c r="E78" s="90">
        <v>749.99</v>
      </c>
    </row>
    <row r="79" spans="1:5" ht="15" x14ac:dyDescent="0.25">
      <c r="A79" s="21"/>
      <c r="B79" s="14" t="s">
        <v>361</v>
      </c>
      <c r="C79" s="14">
        <v>7008263</v>
      </c>
      <c r="D79" s="21" t="s">
        <v>362</v>
      </c>
      <c r="E79" s="90">
        <v>699.99</v>
      </c>
    </row>
    <row r="80" spans="1:5" ht="15" x14ac:dyDescent="0.25">
      <c r="A80" s="21"/>
      <c r="B80" s="14" t="s">
        <v>363</v>
      </c>
      <c r="C80" s="14">
        <v>7008264</v>
      </c>
      <c r="D80" s="21" t="s">
        <v>364</v>
      </c>
      <c r="E80" s="90">
        <v>699.99</v>
      </c>
    </row>
    <row r="81" spans="1:5" ht="15" x14ac:dyDescent="0.25">
      <c r="A81" s="21"/>
      <c r="B81" s="14" t="s">
        <v>365</v>
      </c>
      <c r="C81" s="14">
        <v>7008265</v>
      </c>
      <c r="D81" s="21" t="s">
        <v>366</v>
      </c>
      <c r="E81" s="90">
        <v>699.99</v>
      </c>
    </row>
    <row r="82" spans="1:5" ht="15" x14ac:dyDescent="0.25">
      <c r="A82" s="21"/>
      <c r="B82" s="14" t="s">
        <v>367</v>
      </c>
      <c r="C82" s="14">
        <v>7008316</v>
      </c>
      <c r="D82" s="21" t="s">
        <v>368</v>
      </c>
      <c r="E82" s="90">
        <v>699.99</v>
      </c>
    </row>
    <row r="83" spans="1:5" ht="15" x14ac:dyDescent="0.25">
      <c r="A83" s="21"/>
      <c r="B83" s="14" t="s">
        <v>369</v>
      </c>
      <c r="C83" s="14">
        <v>7008317</v>
      </c>
      <c r="D83" s="21" t="s">
        <v>370</v>
      </c>
      <c r="E83" s="90">
        <v>699.99</v>
      </c>
    </row>
    <row r="84" spans="1:5" ht="15" x14ac:dyDescent="0.25">
      <c r="A84" s="21"/>
      <c r="B84" s="14" t="s">
        <v>221</v>
      </c>
      <c r="C84" s="14">
        <v>70007751</v>
      </c>
      <c r="D84" s="22" t="s">
        <v>224</v>
      </c>
      <c r="E84" s="94">
        <v>599.99</v>
      </c>
    </row>
    <row r="85" spans="1:5" ht="15" x14ac:dyDescent="0.25">
      <c r="A85" s="21"/>
      <c r="B85" s="14" t="s">
        <v>222</v>
      </c>
      <c r="C85" s="14">
        <v>70007752</v>
      </c>
      <c r="D85" s="22" t="s">
        <v>225</v>
      </c>
      <c r="E85" s="94">
        <v>599.99</v>
      </c>
    </row>
    <row r="86" spans="1:5" ht="15" x14ac:dyDescent="0.25">
      <c r="A86" s="21"/>
      <c r="B86" s="14" t="s">
        <v>223</v>
      </c>
      <c r="C86" s="14">
        <v>70007753</v>
      </c>
      <c r="D86" s="22" t="s">
        <v>226</v>
      </c>
      <c r="E86" s="94">
        <v>599.99</v>
      </c>
    </row>
    <row r="87" spans="1:5" ht="15" x14ac:dyDescent="0.25">
      <c r="A87" s="21"/>
      <c r="B87" s="14" t="s">
        <v>209</v>
      </c>
      <c r="C87" s="14">
        <v>70007745</v>
      </c>
      <c r="D87" s="21" t="s">
        <v>215</v>
      </c>
      <c r="E87" s="94">
        <v>599.99</v>
      </c>
    </row>
    <row r="88" spans="1:5" ht="15" x14ac:dyDescent="0.25">
      <c r="A88" s="21"/>
      <c r="B88" s="14" t="s">
        <v>210</v>
      </c>
      <c r="C88" s="14">
        <v>70007746</v>
      </c>
      <c r="D88" s="21" t="s">
        <v>216</v>
      </c>
      <c r="E88" s="94">
        <v>599.99</v>
      </c>
    </row>
    <row r="89" spans="1:5" ht="15" x14ac:dyDescent="0.25">
      <c r="A89" s="21"/>
      <c r="B89" s="14" t="s">
        <v>211</v>
      </c>
      <c r="C89" s="14">
        <v>70007747</v>
      </c>
      <c r="D89" s="21" t="s">
        <v>217</v>
      </c>
      <c r="E89" s="94">
        <v>599.99</v>
      </c>
    </row>
    <row r="90" spans="1:5" ht="15" x14ac:dyDescent="0.25">
      <c r="A90" s="21"/>
      <c r="B90" s="14" t="s">
        <v>212</v>
      </c>
      <c r="C90" s="14">
        <v>70007748</v>
      </c>
      <c r="D90" s="21" t="s">
        <v>218</v>
      </c>
      <c r="E90" s="94">
        <v>599.99</v>
      </c>
    </row>
    <row r="91" spans="1:5" ht="15" x14ac:dyDescent="0.25">
      <c r="A91" s="21"/>
      <c r="B91" s="15" t="s">
        <v>213</v>
      </c>
      <c r="C91" s="15">
        <v>70007749</v>
      </c>
      <c r="D91" s="18" t="s">
        <v>219</v>
      </c>
      <c r="E91" s="91">
        <v>599.99</v>
      </c>
    </row>
    <row r="92" spans="1:5" ht="15" x14ac:dyDescent="0.25">
      <c r="A92" s="21"/>
      <c r="B92" s="15" t="s">
        <v>214</v>
      </c>
      <c r="C92" s="15">
        <v>70007750</v>
      </c>
      <c r="D92" s="18" t="s">
        <v>220</v>
      </c>
      <c r="E92" s="91">
        <v>599.99</v>
      </c>
    </row>
    <row r="93" spans="1:5" s="61" customFormat="1" ht="15" x14ac:dyDescent="0.25">
      <c r="A93" s="99"/>
      <c r="B93" s="15" t="s">
        <v>479</v>
      </c>
      <c r="C93" s="15">
        <v>7008479</v>
      </c>
      <c r="D93" s="18" t="s">
        <v>480</v>
      </c>
      <c r="E93" s="91">
        <v>599.99</v>
      </c>
    </row>
    <row r="94" spans="1:5" s="61" customFormat="1" ht="15" x14ac:dyDescent="0.25">
      <c r="A94" s="99"/>
      <c r="B94" s="15" t="s">
        <v>481</v>
      </c>
      <c r="C94" s="15">
        <v>7008480</v>
      </c>
      <c r="D94" s="18" t="s">
        <v>482</v>
      </c>
      <c r="E94" s="91">
        <v>599.99</v>
      </c>
    </row>
    <row r="95" spans="1:5" s="61" customFormat="1" ht="15" x14ac:dyDescent="0.25">
      <c r="A95" s="99"/>
      <c r="B95" s="15" t="s">
        <v>483</v>
      </c>
      <c r="C95" s="15">
        <v>7008481</v>
      </c>
      <c r="D95" s="18" t="s">
        <v>484</v>
      </c>
      <c r="E95" s="91">
        <v>599.99</v>
      </c>
    </row>
    <row r="96" spans="1:5" s="61" customFormat="1" ht="15" x14ac:dyDescent="0.25">
      <c r="A96" s="99"/>
      <c r="B96" s="15" t="s">
        <v>485</v>
      </c>
      <c r="C96" s="15">
        <v>7008482</v>
      </c>
      <c r="D96" s="18" t="s">
        <v>486</v>
      </c>
      <c r="E96" s="91">
        <v>599.99</v>
      </c>
    </row>
    <row r="97" spans="1:5" s="61" customFormat="1" ht="15" x14ac:dyDescent="0.25">
      <c r="A97" s="99"/>
      <c r="B97" s="15" t="s">
        <v>487</v>
      </c>
      <c r="C97" s="15">
        <v>7008544</v>
      </c>
      <c r="D97" s="18" t="s">
        <v>488</v>
      </c>
      <c r="E97" s="91">
        <v>599.99</v>
      </c>
    </row>
    <row r="98" spans="1:5" s="61" customFormat="1" ht="15" x14ac:dyDescent="0.25">
      <c r="A98" s="99"/>
      <c r="B98" s="15" t="s">
        <v>489</v>
      </c>
      <c r="C98" s="15">
        <v>7008545</v>
      </c>
      <c r="D98" s="18" t="s">
        <v>490</v>
      </c>
      <c r="E98" s="91">
        <v>599.99</v>
      </c>
    </row>
    <row r="99" spans="1:5" ht="15" x14ac:dyDescent="0.25">
      <c r="A99" s="21"/>
      <c r="B99" s="15" t="s">
        <v>138</v>
      </c>
      <c r="C99" s="15">
        <v>70006970</v>
      </c>
      <c r="D99" s="18" t="s">
        <v>148</v>
      </c>
      <c r="E99" s="101">
        <v>399.99</v>
      </c>
    </row>
    <row r="100" spans="1:5" ht="15" x14ac:dyDescent="0.25">
      <c r="A100" s="21"/>
      <c r="B100" s="15" t="s">
        <v>139</v>
      </c>
      <c r="C100" s="15">
        <v>70006971</v>
      </c>
      <c r="D100" s="18" t="s">
        <v>149</v>
      </c>
      <c r="E100" s="101">
        <v>399.99</v>
      </c>
    </row>
    <row r="101" spans="1:5" ht="15" x14ac:dyDescent="0.25">
      <c r="A101" s="21"/>
      <c r="B101" s="15" t="s">
        <v>140</v>
      </c>
      <c r="C101" s="15">
        <v>70006972</v>
      </c>
      <c r="D101" s="18" t="s">
        <v>150</v>
      </c>
      <c r="E101" s="101">
        <v>399.99</v>
      </c>
    </row>
    <row r="102" spans="1:5" ht="15" x14ac:dyDescent="0.25">
      <c r="A102" s="21"/>
      <c r="B102" s="15" t="s">
        <v>141</v>
      </c>
      <c r="C102" s="15">
        <v>70006973</v>
      </c>
      <c r="D102" s="18" t="s">
        <v>151</v>
      </c>
      <c r="E102" s="101">
        <v>399.99</v>
      </c>
    </row>
    <row r="103" spans="1:5" ht="15" x14ac:dyDescent="0.25">
      <c r="A103" s="21"/>
      <c r="B103" s="15" t="s">
        <v>142</v>
      </c>
      <c r="C103" s="15">
        <v>70006974</v>
      </c>
      <c r="D103" s="18" t="s">
        <v>152</v>
      </c>
      <c r="E103" s="101">
        <v>399.99</v>
      </c>
    </row>
    <row r="104" spans="1:5" ht="15" x14ac:dyDescent="0.25">
      <c r="A104" s="21"/>
      <c r="B104" s="15" t="s">
        <v>261</v>
      </c>
      <c r="C104" s="15">
        <v>70008202</v>
      </c>
      <c r="D104" s="18" t="s">
        <v>266</v>
      </c>
      <c r="E104" s="101">
        <v>399.99</v>
      </c>
    </row>
    <row r="105" spans="1:5" ht="15" x14ac:dyDescent="0.25">
      <c r="A105" s="21"/>
      <c r="B105" s="15" t="s">
        <v>262</v>
      </c>
      <c r="C105" s="15">
        <v>70008223</v>
      </c>
      <c r="D105" s="18" t="s">
        <v>267</v>
      </c>
      <c r="E105" s="101">
        <v>399.99</v>
      </c>
    </row>
    <row r="106" spans="1:5" ht="15" x14ac:dyDescent="0.25">
      <c r="A106" s="21"/>
      <c r="B106" s="15" t="s">
        <v>263</v>
      </c>
      <c r="C106" s="15">
        <v>70008224</v>
      </c>
      <c r="D106" s="18" t="s">
        <v>268</v>
      </c>
      <c r="E106" s="101">
        <v>399.99</v>
      </c>
    </row>
    <row r="107" spans="1:5" ht="15" x14ac:dyDescent="0.25">
      <c r="A107" s="21"/>
      <c r="B107" s="15" t="s">
        <v>264</v>
      </c>
      <c r="C107" s="15">
        <v>70008225</v>
      </c>
      <c r="D107" s="18" t="s">
        <v>269</v>
      </c>
      <c r="E107" s="101">
        <v>399.99</v>
      </c>
    </row>
    <row r="108" spans="1:5" ht="15" x14ac:dyDescent="0.25">
      <c r="A108" s="21"/>
      <c r="B108" s="15" t="s">
        <v>265</v>
      </c>
      <c r="C108" s="15">
        <v>70008228</v>
      </c>
      <c r="D108" s="18" t="s">
        <v>270</v>
      </c>
      <c r="E108" s="101">
        <v>399.99</v>
      </c>
    </row>
    <row r="109" spans="1:5" ht="15" x14ac:dyDescent="0.25">
      <c r="A109" s="21"/>
      <c r="B109" s="15" t="s">
        <v>133</v>
      </c>
      <c r="C109" s="15">
        <v>70006965</v>
      </c>
      <c r="D109" s="18" t="s">
        <v>143</v>
      </c>
      <c r="E109" s="101">
        <v>399.99</v>
      </c>
    </row>
    <row r="110" spans="1:5" ht="15" x14ac:dyDescent="0.25">
      <c r="A110" s="21"/>
      <c r="B110" s="15" t="s">
        <v>134</v>
      </c>
      <c r="C110" s="18">
        <v>70006966</v>
      </c>
      <c r="D110" s="18" t="s">
        <v>144</v>
      </c>
      <c r="E110" s="101">
        <v>399.99</v>
      </c>
    </row>
    <row r="111" spans="1:5" ht="12.75" customHeight="1" x14ac:dyDescent="0.25">
      <c r="A111" s="21"/>
      <c r="B111" s="15" t="s">
        <v>135</v>
      </c>
      <c r="C111" s="18">
        <v>70006967</v>
      </c>
      <c r="D111" s="18" t="s">
        <v>145</v>
      </c>
      <c r="E111" s="101">
        <v>399.99</v>
      </c>
    </row>
    <row r="112" spans="1:5" ht="15" x14ac:dyDescent="0.25">
      <c r="A112" s="21"/>
      <c r="B112" s="15" t="s">
        <v>136</v>
      </c>
      <c r="C112" s="18">
        <v>70006968</v>
      </c>
      <c r="D112" s="18" t="s">
        <v>146</v>
      </c>
      <c r="E112" s="101">
        <v>399.99</v>
      </c>
    </row>
    <row r="113" spans="1:5" ht="15" x14ac:dyDescent="0.25">
      <c r="A113" s="21"/>
      <c r="B113" s="15" t="s">
        <v>137</v>
      </c>
      <c r="C113" s="18">
        <v>70006969</v>
      </c>
      <c r="D113" s="18" t="s">
        <v>147</v>
      </c>
      <c r="E113" s="101">
        <v>399.99</v>
      </c>
    </row>
    <row r="114" spans="1:5" s="61" customFormat="1" ht="15" x14ac:dyDescent="0.25">
      <c r="A114" s="99"/>
      <c r="B114" s="15" t="s">
        <v>469</v>
      </c>
      <c r="C114" s="15">
        <v>7008546</v>
      </c>
      <c r="D114" s="18" t="s">
        <v>470</v>
      </c>
      <c r="E114" s="91">
        <v>399.99</v>
      </c>
    </row>
    <row r="115" spans="1:5" s="61" customFormat="1" ht="15" x14ac:dyDescent="0.25">
      <c r="A115" s="99"/>
      <c r="B115" s="15" t="s">
        <v>471</v>
      </c>
      <c r="C115" s="15">
        <v>7008547</v>
      </c>
      <c r="D115" s="18" t="s">
        <v>472</v>
      </c>
      <c r="E115" s="91">
        <v>399.99</v>
      </c>
    </row>
    <row r="116" spans="1:5" s="61" customFormat="1" ht="15" x14ac:dyDescent="0.25">
      <c r="A116" s="99"/>
      <c r="B116" s="15" t="s">
        <v>473</v>
      </c>
      <c r="C116" s="15">
        <v>7008548</v>
      </c>
      <c r="D116" s="18" t="s">
        <v>474</v>
      </c>
      <c r="E116" s="91">
        <v>399.99</v>
      </c>
    </row>
    <row r="117" spans="1:5" s="61" customFormat="1" ht="15" x14ac:dyDescent="0.25">
      <c r="A117" s="99"/>
      <c r="B117" s="15" t="s">
        <v>475</v>
      </c>
      <c r="C117" s="15">
        <v>7008549</v>
      </c>
      <c r="D117" s="18" t="s">
        <v>476</v>
      </c>
      <c r="E117" s="91">
        <v>399.99</v>
      </c>
    </row>
    <row r="118" spans="1:5" s="61" customFormat="1" ht="15" x14ac:dyDescent="0.25">
      <c r="A118" s="99"/>
      <c r="B118" s="15" t="s">
        <v>477</v>
      </c>
      <c r="C118" s="15">
        <v>7008550</v>
      </c>
      <c r="D118" s="18" t="s">
        <v>478</v>
      </c>
      <c r="E118" s="91">
        <v>399.99</v>
      </c>
    </row>
    <row r="119" spans="1:5" ht="15" x14ac:dyDescent="0.25">
      <c r="A119" s="71"/>
      <c r="B119" s="18" t="s">
        <v>307</v>
      </c>
      <c r="C119" s="15">
        <v>70008367</v>
      </c>
      <c r="D119" s="16" t="s">
        <v>308</v>
      </c>
      <c r="E119" s="91">
        <v>399.99</v>
      </c>
    </row>
    <row r="120" spans="1:5" s="61" customFormat="1" ht="14.25" customHeight="1" x14ac:dyDescent="0.25">
      <c r="A120" s="100"/>
      <c r="B120" s="18" t="s">
        <v>463</v>
      </c>
      <c r="C120" s="15">
        <v>7008431</v>
      </c>
      <c r="D120" s="16" t="s">
        <v>464</v>
      </c>
      <c r="E120" s="91">
        <v>399.99</v>
      </c>
    </row>
    <row r="121" spans="1:5" s="61" customFormat="1" ht="15" x14ac:dyDescent="0.25">
      <c r="A121" s="100"/>
      <c r="B121" s="18" t="s">
        <v>465</v>
      </c>
      <c r="C121" s="15">
        <v>7008432</v>
      </c>
      <c r="D121" s="16" t="s">
        <v>466</v>
      </c>
      <c r="E121" s="91">
        <v>399.99</v>
      </c>
    </row>
    <row r="122" spans="1:5" s="61" customFormat="1" ht="15" x14ac:dyDescent="0.25">
      <c r="A122" s="100"/>
      <c r="B122" s="18" t="s">
        <v>467</v>
      </c>
      <c r="C122" s="15">
        <v>7008433</v>
      </c>
      <c r="D122" s="16" t="s">
        <v>468</v>
      </c>
      <c r="E122" s="91">
        <v>399.99</v>
      </c>
    </row>
    <row r="123" spans="1:5" ht="15" x14ac:dyDescent="0.25">
      <c r="A123" s="71"/>
      <c r="B123" s="18" t="s">
        <v>301</v>
      </c>
      <c r="C123" s="15">
        <v>70008361</v>
      </c>
      <c r="D123" s="16" t="s">
        <v>302</v>
      </c>
      <c r="E123" s="91">
        <v>399.99</v>
      </c>
    </row>
    <row r="124" spans="1:5" ht="15" x14ac:dyDescent="0.25">
      <c r="A124" s="71"/>
      <c r="B124" s="18" t="s">
        <v>303</v>
      </c>
      <c r="C124" s="15">
        <v>70008362</v>
      </c>
      <c r="D124" s="16" t="s">
        <v>304</v>
      </c>
      <c r="E124" s="91">
        <v>399.99</v>
      </c>
    </row>
    <row r="125" spans="1:5" ht="15" x14ac:dyDescent="0.25">
      <c r="A125" s="71"/>
      <c r="B125" s="18" t="s">
        <v>305</v>
      </c>
      <c r="C125" s="15">
        <v>70008363</v>
      </c>
      <c r="D125" s="16" t="s">
        <v>306</v>
      </c>
      <c r="E125" s="91">
        <v>399.99</v>
      </c>
    </row>
    <row r="126" spans="1:5" ht="15" x14ac:dyDescent="0.25">
      <c r="A126" s="70">
        <v>50669</v>
      </c>
      <c r="B126" s="18" t="s">
        <v>10</v>
      </c>
      <c r="C126" s="18">
        <v>70004954</v>
      </c>
      <c r="D126" s="18" t="s">
        <v>11</v>
      </c>
      <c r="E126" s="101">
        <v>339.99</v>
      </c>
    </row>
    <row r="127" spans="1:5" ht="18" customHeight="1" x14ac:dyDescent="0.25">
      <c r="A127" s="70">
        <v>50668</v>
      </c>
      <c r="B127" s="21" t="s">
        <v>12</v>
      </c>
      <c r="C127" s="21">
        <v>70004955</v>
      </c>
      <c r="D127" s="21" t="s">
        <v>13</v>
      </c>
      <c r="E127" s="90">
        <v>339.99</v>
      </c>
    </row>
    <row r="128" spans="1:5" ht="15" x14ac:dyDescent="0.25">
      <c r="A128" s="70">
        <v>50667</v>
      </c>
      <c r="B128" s="21" t="s">
        <v>14</v>
      </c>
      <c r="C128" s="21">
        <v>70004956</v>
      </c>
      <c r="D128" s="21" t="s">
        <v>15</v>
      </c>
      <c r="E128" s="90">
        <v>339.99</v>
      </c>
    </row>
    <row r="129" spans="1:5" ht="15" x14ac:dyDescent="0.25">
      <c r="A129" s="70"/>
      <c r="B129" s="14" t="s">
        <v>16</v>
      </c>
      <c r="C129" s="14">
        <v>70004958</v>
      </c>
      <c r="D129" s="21" t="s">
        <v>17</v>
      </c>
      <c r="E129" s="90">
        <v>339.99</v>
      </c>
    </row>
    <row r="130" spans="1:5" ht="20.25" x14ac:dyDescent="0.25">
      <c r="A130" s="66" t="s">
        <v>18</v>
      </c>
      <c r="B130" s="66" t="s">
        <v>18</v>
      </c>
      <c r="C130" s="95"/>
      <c r="D130" s="66"/>
      <c r="E130" s="66"/>
    </row>
    <row r="131" spans="1:5" x14ac:dyDescent="0.25">
      <c r="A131" s="72"/>
      <c r="B131" s="14" t="s">
        <v>125</v>
      </c>
      <c r="C131" s="14">
        <v>70006788</v>
      </c>
      <c r="D131" s="71" t="s">
        <v>126</v>
      </c>
      <c r="E131" s="20">
        <v>759.99</v>
      </c>
    </row>
    <row r="132" spans="1:5" x14ac:dyDescent="0.25">
      <c r="A132" s="72"/>
      <c r="B132" s="14" t="s">
        <v>251</v>
      </c>
      <c r="C132" s="14">
        <v>70007879</v>
      </c>
      <c r="D132" s="71" t="s">
        <v>252</v>
      </c>
      <c r="E132" s="20">
        <v>649.99</v>
      </c>
    </row>
    <row r="133" spans="1:5" ht="14.45" customHeight="1" x14ac:dyDescent="0.25">
      <c r="A133" s="21"/>
      <c r="B133" s="14" t="s">
        <v>337</v>
      </c>
      <c r="C133" s="14">
        <v>7007957</v>
      </c>
      <c r="D133" s="71" t="s">
        <v>338</v>
      </c>
      <c r="E133" s="20">
        <v>259.99</v>
      </c>
    </row>
    <row r="134" spans="1:5" ht="14.45" customHeight="1" x14ac:dyDescent="0.25">
      <c r="A134" s="21"/>
      <c r="B134" s="14" t="s">
        <v>339</v>
      </c>
      <c r="C134" s="14">
        <v>7007997</v>
      </c>
      <c r="D134" s="71" t="s">
        <v>340</v>
      </c>
      <c r="E134" s="20">
        <v>259.99</v>
      </c>
    </row>
    <row r="135" spans="1:5" x14ac:dyDescent="0.25">
      <c r="A135" s="65"/>
      <c r="B135" s="14" t="s">
        <v>333</v>
      </c>
      <c r="C135" s="14">
        <v>70008450</v>
      </c>
      <c r="D135" s="71" t="s">
        <v>334</v>
      </c>
      <c r="E135" s="20">
        <v>149.99</v>
      </c>
    </row>
    <row r="136" spans="1:5" x14ac:dyDescent="0.25">
      <c r="A136" s="65"/>
      <c r="B136" s="14" t="s">
        <v>207</v>
      </c>
      <c r="C136" s="14">
        <v>70007680</v>
      </c>
      <c r="D136" s="22" t="s">
        <v>208</v>
      </c>
      <c r="E136" s="20">
        <v>169.99</v>
      </c>
    </row>
    <row r="137" spans="1:5" ht="20.25" x14ac:dyDescent="0.25">
      <c r="A137" s="66" t="s">
        <v>19</v>
      </c>
      <c r="B137" s="66" t="s">
        <v>19</v>
      </c>
      <c r="C137" s="66"/>
      <c r="D137" s="66"/>
      <c r="E137" s="66"/>
    </row>
    <row r="138" spans="1:5" ht="14.45" customHeight="1" x14ac:dyDescent="0.25">
      <c r="A138" s="21"/>
      <c r="B138" s="14" t="s">
        <v>319</v>
      </c>
      <c r="C138" s="14">
        <v>70008323</v>
      </c>
      <c r="D138" s="22" t="s">
        <v>320</v>
      </c>
      <c r="E138" s="96">
        <v>169.99</v>
      </c>
    </row>
    <row r="139" spans="1:5" ht="14.45" customHeight="1" x14ac:dyDescent="0.25">
      <c r="A139" s="21"/>
      <c r="B139" s="14" t="s">
        <v>335</v>
      </c>
      <c r="C139" s="22">
        <v>70008473</v>
      </c>
      <c r="D139" s="96" t="s">
        <v>336</v>
      </c>
      <c r="E139" s="96">
        <v>99.99</v>
      </c>
    </row>
    <row r="140" spans="1:5" ht="14.45" customHeight="1" x14ac:dyDescent="0.25">
      <c r="A140" s="21"/>
      <c r="B140" s="14" t="s">
        <v>189</v>
      </c>
      <c r="C140" s="14">
        <v>70007305</v>
      </c>
      <c r="D140" s="22" t="s">
        <v>190</v>
      </c>
      <c r="E140" s="96">
        <v>69.989999999999995</v>
      </c>
    </row>
    <row r="141" spans="1:5" ht="14.45" customHeight="1" x14ac:dyDescent="0.25">
      <c r="A141" s="21"/>
      <c r="B141" s="14" t="s">
        <v>191</v>
      </c>
      <c r="C141" s="14">
        <v>70007306</v>
      </c>
      <c r="D141" s="22" t="s">
        <v>192</v>
      </c>
      <c r="E141" s="96">
        <v>69.989999999999995</v>
      </c>
    </row>
    <row r="142" spans="1:5" ht="15.75" customHeight="1" x14ac:dyDescent="0.25">
      <c r="A142" s="66" t="s">
        <v>23</v>
      </c>
      <c r="B142" s="66" t="s">
        <v>23</v>
      </c>
      <c r="C142" s="66"/>
      <c r="D142" s="66"/>
      <c r="E142" s="66"/>
    </row>
    <row r="143" spans="1:5" ht="14.45" customHeight="1" x14ac:dyDescent="0.25">
      <c r="A143" s="21"/>
      <c r="B143" s="21" t="s">
        <v>357</v>
      </c>
      <c r="C143" s="14">
        <v>7008102</v>
      </c>
      <c r="D143" s="93" t="s">
        <v>359</v>
      </c>
      <c r="E143" s="97">
        <v>1799.99</v>
      </c>
    </row>
    <row r="144" spans="1:5" ht="14.45" customHeight="1" x14ac:dyDescent="0.25">
      <c r="A144" s="21"/>
      <c r="B144" s="21" t="s">
        <v>358</v>
      </c>
      <c r="C144" s="14">
        <v>7008103</v>
      </c>
      <c r="D144" s="93" t="s">
        <v>360</v>
      </c>
      <c r="E144" s="97">
        <v>1799.99</v>
      </c>
    </row>
    <row r="145" spans="1:5" ht="14.45" customHeight="1" x14ac:dyDescent="0.25">
      <c r="A145" s="21"/>
      <c r="B145" s="14" t="s">
        <v>277</v>
      </c>
      <c r="C145" s="14">
        <v>70008135</v>
      </c>
      <c r="D145" s="14" t="s">
        <v>279</v>
      </c>
      <c r="E145" s="97">
        <v>1319.99</v>
      </c>
    </row>
    <row r="146" spans="1:5" ht="14.45" customHeight="1" x14ac:dyDescent="0.25">
      <c r="A146" s="21"/>
      <c r="B146" s="14" t="s">
        <v>278</v>
      </c>
      <c r="C146" s="14">
        <v>70008136</v>
      </c>
      <c r="D146" s="14" t="s">
        <v>280</v>
      </c>
      <c r="E146" s="97">
        <v>1319.99</v>
      </c>
    </row>
    <row r="147" spans="1:5" ht="14.45" customHeight="1" x14ac:dyDescent="0.25">
      <c r="A147" s="21"/>
      <c r="B147" s="14" t="s">
        <v>327</v>
      </c>
      <c r="C147" s="14">
        <v>7007959</v>
      </c>
      <c r="D147" s="98" t="s">
        <v>330</v>
      </c>
      <c r="E147" s="97">
        <v>1219.99</v>
      </c>
    </row>
    <row r="148" spans="1:5" ht="14.45" customHeight="1" x14ac:dyDescent="0.25">
      <c r="A148" s="21"/>
      <c r="B148" s="14" t="s">
        <v>328</v>
      </c>
      <c r="C148" s="14">
        <v>7007960</v>
      </c>
      <c r="D148" s="98" t="s">
        <v>331</v>
      </c>
      <c r="E148" s="97">
        <v>1219.99</v>
      </c>
    </row>
    <row r="149" spans="1:5" ht="14.45" customHeight="1" x14ac:dyDescent="0.25">
      <c r="A149" s="21"/>
      <c r="B149" s="14" t="s">
        <v>329</v>
      </c>
      <c r="C149" s="14">
        <v>7007961</v>
      </c>
      <c r="D149" s="98" t="s">
        <v>332</v>
      </c>
      <c r="E149" s="97">
        <v>1219.99</v>
      </c>
    </row>
    <row r="150" spans="1:5" s="19" customFormat="1" ht="14.45" customHeight="1" x14ac:dyDescent="0.25">
      <c r="A150" s="18"/>
      <c r="B150" s="18" t="s">
        <v>505</v>
      </c>
      <c r="C150" s="15">
        <v>7008471</v>
      </c>
      <c r="D150" s="92" t="s">
        <v>506</v>
      </c>
      <c r="E150" s="102">
        <v>1119.99</v>
      </c>
    </row>
    <row r="151" spans="1:5" s="19" customFormat="1" ht="14.45" customHeight="1" x14ac:dyDescent="0.25">
      <c r="A151" s="18"/>
      <c r="B151" s="18" t="s">
        <v>507</v>
      </c>
      <c r="C151" s="15">
        <v>7008472</v>
      </c>
      <c r="D151" s="92" t="s">
        <v>508</v>
      </c>
      <c r="E151" s="102">
        <v>1119.99</v>
      </c>
    </row>
    <row r="152" spans="1:5" ht="14.45" customHeight="1" x14ac:dyDescent="0.25">
      <c r="A152" s="21"/>
      <c r="B152" s="14" t="s">
        <v>199</v>
      </c>
      <c r="C152" s="14">
        <v>70007705</v>
      </c>
      <c r="D152" s="14" t="s">
        <v>200</v>
      </c>
      <c r="E152" s="97">
        <v>1049.99</v>
      </c>
    </row>
    <row r="153" spans="1:5" ht="14.45" customHeight="1" x14ac:dyDescent="0.25">
      <c r="A153" s="21"/>
      <c r="B153" s="21" t="s">
        <v>201</v>
      </c>
      <c r="C153" s="21">
        <v>70007706</v>
      </c>
      <c r="D153" s="21" t="s">
        <v>202</v>
      </c>
      <c r="E153" s="97">
        <v>1049.99</v>
      </c>
    </row>
    <row r="154" spans="1:5" ht="14.45" customHeight="1" x14ac:dyDescent="0.25">
      <c r="A154" s="21"/>
      <c r="B154" s="21" t="s">
        <v>203</v>
      </c>
      <c r="C154" s="21">
        <v>70007707</v>
      </c>
      <c r="D154" s="21" t="s">
        <v>204</v>
      </c>
      <c r="E154" s="97">
        <v>1049.99</v>
      </c>
    </row>
    <row r="155" spans="1:5" ht="14.45" customHeight="1" x14ac:dyDescent="0.25">
      <c r="A155" s="21"/>
      <c r="B155" s="21" t="s">
        <v>205</v>
      </c>
      <c r="C155" s="21">
        <v>70007708</v>
      </c>
      <c r="D155" s="21" t="s">
        <v>206</v>
      </c>
      <c r="E155" s="97">
        <v>1049.99</v>
      </c>
    </row>
    <row r="156" spans="1:5" ht="14.45" customHeight="1" x14ac:dyDescent="0.25">
      <c r="A156" s="21"/>
      <c r="B156" s="21" t="s">
        <v>315</v>
      </c>
      <c r="C156" s="21">
        <v>70008326</v>
      </c>
      <c r="D156" s="21" t="s">
        <v>316</v>
      </c>
      <c r="E156" s="97">
        <v>999.99</v>
      </c>
    </row>
    <row r="157" spans="1:5" ht="14.45" customHeight="1" x14ac:dyDescent="0.25">
      <c r="A157" s="21"/>
      <c r="B157" s="21" t="s">
        <v>318</v>
      </c>
      <c r="C157" s="21">
        <v>70008327</v>
      </c>
      <c r="D157" s="21" t="s">
        <v>317</v>
      </c>
      <c r="E157" s="97">
        <v>999.99</v>
      </c>
    </row>
    <row r="158" spans="1:5" ht="14.45" customHeight="1" x14ac:dyDescent="0.25">
      <c r="A158" s="21"/>
      <c r="B158" s="21" t="s">
        <v>321</v>
      </c>
      <c r="C158" s="21">
        <v>7008018</v>
      </c>
      <c r="D158" s="93" t="s">
        <v>322</v>
      </c>
      <c r="E158" s="97">
        <v>939.99</v>
      </c>
    </row>
    <row r="159" spans="1:5" ht="14.45" customHeight="1" x14ac:dyDescent="0.25">
      <c r="A159" s="21"/>
      <c r="B159" s="21" t="s">
        <v>323</v>
      </c>
      <c r="C159" s="21">
        <v>7008019</v>
      </c>
      <c r="D159" s="93" t="s">
        <v>324</v>
      </c>
      <c r="E159" s="97">
        <v>939.99</v>
      </c>
    </row>
    <row r="160" spans="1:5" ht="14.45" customHeight="1" x14ac:dyDescent="0.25">
      <c r="A160" s="21"/>
      <c r="B160" s="21" t="s">
        <v>325</v>
      </c>
      <c r="C160" s="21">
        <v>7008020</v>
      </c>
      <c r="D160" s="93" t="s">
        <v>326</v>
      </c>
      <c r="E160" s="97">
        <v>939.99</v>
      </c>
    </row>
    <row r="161" spans="1:5" ht="14.45" customHeight="1" x14ac:dyDescent="0.25">
      <c r="A161" s="21"/>
      <c r="B161" s="21" t="s">
        <v>183</v>
      </c>
      <c r="C161" s="21">
        <v>70007419</v>
      </c>
      <c r="D161" s="21" t="s">
        <v>186</v>
      </c>
      <c r="E161" s="97">
        <v>919.99</v>
      </c>
    </row>
    <row r="162" spans="1:5" ht="14.45" customHeight="1" x14ac:dyDescent="0.25">
      <c r="A162" s="21"/>
      <c r="B162" s="21" t="s">
        <v>184</v>
      </c>
      <c r="C162" s="21">
        <v>70007420</v>
      </c>
      <c r="D162" s="21" t="s">
        <v>187</v>
      </c>
      <c r="E162" s="97">
        <v>919.99</v>
      </c>
    </row>
    <row r="163" spans="1:5" ht="14.45" customHeight="1" x14ac:dyDescent="0.25">
      <c r="A163" s="21"/>
      <c r="B163" s="21" t="s">
        <v>185</v>
      </c>
      <c r="C163" s="21">
        <v>70007421</v>
      </c>
      <c r="D163" s="21" t="s">
        <v>188</v>
      </c>
      <c r="E163" s="97">
        <v>919.99</v>
      </c>
    </row>
    <row r="164" spans="1:5" ht="14.45" customHeight="1" x14ac:dyDescent="0.25">
      <c r="A164" s="21"/>
      <c r="B164" s="18" t="s">
        <v>499</v>
      </c>
      <c r="C164" s="18">
        <v>7008502</v>
      </c>
      <c r="D164" s="92" t="s">
        <v>500</v>
      </c>
      <c r="E164" s="102">
        <v>909.99</v>
      </c>
    </row>
    <row r="165" spans="1:5" ht="14.45" customHeight="1" x14ac:dyDescent="0.25">
      <c r="A165" s="21"/>
      <c r="B165" s="18" t="s">
        <v>501</v>
      </c>
      <c r="C165" s="18">
        <v>7008503</v>
      </c>
      <c r="D165" s="92" t="s">
        <v>502</v>
      </c>
      <c r="E165" s="102">
        <v>909.99</v>
      </c>
    </row>
    <row r="166" spans="1:5" ht="14.45" customHeight="1" x14ac:dyDescent="0.25">
      <c r="A166" s="21"/>
      <c r="B166" s="18" t="s">
        <v>503</v>
      </c>
      <c r="C166" s="18">
        <v>7008504</v>
      </c>
      <c r="D166" s="92" t="s">
        <v>504</v>
      </c>
      <c r="E166" s="102">
        <v>909.99</v>
      </c>
    </row>
    <row r="167" spans="1:5" s="19" customFormat="1" ht="14.45" customHeight="1" x14ac:dyDescent="0.25">
      <c r="A167" s="18"/>
      <c r="B167" s="21" t="s">
        <v>24</v>
      </c>
      <c r="C167" s="14">
        <v>70006812</v>
      </c>
      <c r="D167" s="21" t="s">
        <v>25</v>
      </c>
      <c r="E167" s="97">
        <v>879.99</v>
      </c>
    </row>
    <row r="168" spans="1:5" s="19" customFormat="1" ht="14.45" customHeight="1" x14ac:dyDescent="0.25">
      <c r="A168" s="18"/>
      <c r="B168" s="21" t="s">
        <v>26</v>
      </c>
      <c r="C168" s="14">
        <v>70006629</v>
      </c>
      <c r="D168" s="21" t="s">
        <v>27</v>
      </c>
      <c r="E168" s="97">
        <v>879.99</v>
      </c>
    </row>
    <row r="169" spans="1:5" s="19" customFormat="1" ht="14.45" customHeight="1" x14ac:dyDescent="0.25">
      <c r="A169" s="18"/>
      <c r="B169" s="21" t="s">
        <v>28</v>
      </c>
      <c r="C169" s="14">
        <v>70006630</v>
      </c>
      <c r="D169" s="21" t="s">
        <v>29</v>
      </c>
      <c r="E169" s="97">
        <v>879.99</v>
      </c>
    </row>
    <row r="170" spans="1:5" ht="14.45" customHeight="1" x14ac:dyDescent="0.25">
      <c r="A170" s="21"/>
      <c r="B170" s="21" t="s">
        <v>197</v>
      </c>
      <c r="C170" s="21">
        <v>70007704</v>
      </c>
      <c r="D170" s="21" t="s">
        <v>198</v>
      </c>
      <c r="E170" s="97">
        <v>849.99</v>
      </c>
    </row>
    <row r="171" spans="1:5" ht="14.45" customHeight="1" x14ac:dyDescent="0.25">
      <c r="A171" s="21"/>
      <c r="B171" s="21" t="s">
        <v>195</v>
      </c>
      <c r="C171" s="21">
        <v>70007703</v>
      </c>
      <c r="D171" s="21" t="s">
        <v>196</v>
      </c>
      <c r="E171" s="97">
        <v>849.99</v>
      </c>
    </row>
    <row r="172" spans="1:5" ht="14.45" customHeight="1" x14ac:dyDescent="0.25">
      <c r="A172" s="21"/>
      <c r="B172" s="21" t="s">
        <v>177</v>
      </c>
      <c r="C172" s="21">
        <v>70007416</v>
      </c>
      <c r="D172" s="21" t="s">
        <v>180</v>
      </c>
      <c r="E172" s="97">
        <v>819.99</v>
      </c>
    </row>
    <row r="173" spans="1:5" ht="14.45" customHeight="1" x14ac:dyDescent="0.25">
      <c r="A173" s="21"/>
      <c r="B173" s="21" t="s">
        <v>178</v>
      </c>
      <c r="C173" s="21">
        <v>70007417</v>
      </c>
      <c r="D173" s="21" t="s">
        <v>181</v>
      </c>
      <c r="E173" s="97">
        <v>819.99</v>
      </c>
    </row>
    <row r="174" spans="1:5" ht="14.45" customHeight="1" x14ac:dyDescent="0.25">
      <c r="A174" s="21"/>
      <c r="B174" s="21" t="s">
        <v>179</v>
      </c>
      <c r="C174" s="21">
        <v>70007418</v>
      </c>
      <c r="D174" s="21" t="s">
        <v>182</v>
      </c>
      <c r="E174" s="97">
        <v>819.99</v>
      </c>
    </row>
    <row r="175" spans="1:5" ht="14.45" customHeight="1" x14ac:dyDescent="0.25">
      <c r="A175" s="21"/>
      <c r="B175" s="18" t="s">
        <v>491</v>
      </c>
      <c r="C175" s="18">
        <v>7008498</v>
      </c>
      <c r="D175" s="18" t="s">
        <v>492</v>
      </c>
      <c r="E175" s="102">
        <v>759.99</v>
      </c>
    </row>
    <row r="176" spans="1:5" ht="14.45" customHeight="1" x14ac:dyDescent="0.25">
      <c r="A176" s="21"/>
      <c r="B176" s="18" t="s">
        <v>493</v>
      </c>
      <c r="C176" s="18">
        <v>7008499</v>
      </c>
      <c r="D176" s="18" t="s">
        <v>494</v>
      </c>
      <c r="E176" s="102">
        <v>759.99</v>
      </c>
    </row>
    <row r="177" spans="1:5" ht="14.45" customHeight="1" x14ac:dyDescent="0.25">
      <c r="A177" s="21"/>
      <c r="B177" s="18" t="s">
        <v>495</v>
      </c>
      <c r="C177" s="18">
        <v>7008500</v>
      </c>
      <c r="D177" s="18" t="s">
        <v>496</v>
      </c>
      <c r="E177" s="102">
        <v>759.99</v>
      </c>
    </row>
    <row r="178" spans="1:5" s="19" customFormat="1" ht="14.45" customHeight="1" x14ac:dyDescent="0.25">
      <c r="A178" s="18"/>
      <c r="B178" s="18" t="s">
        <v>497</v>
      </c>
      <c r="C178" s="18">
        <v>7008501</v>
      </c>
      <c r="D178" s="18" t="s">
        <v>498</v>
      </c>
      <c r="E178" s="102">
        <v>759.99</v>
      </c>
    </row>
    <row r="179" spans="1:5" s="19" customFormat="1" ht="14.45" customHeight="1" x14ac:dyDescent="0.25">
      <c r="A179" s="18"/>
      <c r="B179" s="21" t="s">
        <v>30</v>
      </c>
      <c r="C179" s="21">
        <v>70006625</v>
      </c>
      <c r="D179" s="21" t="s">
        <v>31</v>
      </c>
      <c r="E179" s="97">
        <v>749.99</v>
      </c>
    </row>
    <row r="180" spans="1:5" s="19" customFormat="1" ht="14.45" customHeight="1" x14ac:dyDescent="0.25">
      <c r="A180" s="18"/>
      <c r="B180" s="21" t="s">
        <v>32</v>
      </c>
      <c r="C180" s="21">
        <v>70006626</v>
      </c>
      <c r="D180" s="21" t="s">
        <v>33</v>
      </c>
      <c r="E180" s="97">
        <v>749.99</v>
      </c>
    </row>
    <row r="181" spans="1:5" s="19" customFormat="1" ht="14.45" customHeight="1" x14ac:dyDescent="0.25">
      <c r="A181" s="18"/>
      <c r="B181" s="21" t="s">
        <v>34</v>
      </c>
      <c r="C181" s="21">
        <v>70006846</v>
      </c>
      <c r="D181" s="21" t="s">
        <v>35</v>
      </c>
      <c r="E181" s="97">
        <v>749.99</v>
      </c>
    </row>
    <row r="182" spans="1:5" ht="14.45" customHeight="1" x14ac:dyDescent="0.25">
      <c r="A182" s="21"/>
      <c r="B182" s="21" t="s">
        <v>271</v>
      </c>
      <c r="C182" s="21">
        <v>70008009</v>
      </c>
      <c r="D182" s="21" t="s">
        <v>274</v>
      </c>
      <c r="E182" s="97">
        <v>729.99</v>
      </c>
    </row>
    <row r="183" spans="1:5" ht="14.45" customHeight="1" x14ac:dyDescent="0.25">
      <c r="A183" s="21"/>
      <c r="B183" s="21" t="s">
        <v>272</v>
      </c>
      <c r="C183" s="21">
        <v>70008010</v>
      </c>
      <c r="D183" s="21" t="s">
        <v>275</v>
      </c>
      <c r="E183" s="97">
        <v>729.99</v>
      </c>
    </row>
    <row r="184" spans="1:5" ht="14.45" customHeight="1" x14ac:dyDescent="0.25">
      <c r="A184" s="21"/>
      <c r="B184" s="21" t="s">
        <v>273</v>
      </c>
      <c r="C184" s="21">
        <v>70008011</v>
      </c>
      <c r="D184" s="21" t="s">
        <v>276</v>
      </c>
      <c r="E184" s="97">
        <v>729.99</v>
      </c>
    </row>
    <row r="185" spans="1:5" ht="14.45" customHeight="1" x14ac:dyDescent="0.25">
      <c r="A185" s="21"/>
      <c r="B185" s="21" t="s">
        <v>127</v>
      </c>
      <c r="C185" s="21">
        <v>70006824</v>
      </c>
      <c r="D185" s="21" t="s">
        <v>130</v>
      </c>
      <c r="E185" s="97">
        <v>699.99</v>
      </c>
    </row>
    <row r="186" spans="1:5" ht="14.45" customHeight="1" x14ac:dyDescent="0.25">
      <c r="A186" s="21"/>
      <c r="B186" s="14" t="s">
        <v>128</v>
      </c>
      <c r="C186" s="14">
        <v>70006825</v>
      </c>
      <c r="D186" s="14" t="s">
        <v>131</v>
      </c>
      <c r="E186" s="97">
        <v>699.99</v>
      </c>
    </row>
    <row r="187" spans="1:5" ht="14.45" customHeight="1" x14ac:dyDescent="0.25">
      <c r="A187" s="21"/>
      <c r="B187" s="14" t="s">
        <v>129</v>
      </c>
      <c r="C187" s="14">
        <v>70006826</v>
      </c>
      <c r="D187" s="14" t="s">
        <v>132</v>
      </c>
      <c r="E187" s="97">
        <v>699.99</v>
      </c>
    </row>
    <row r="188" spans="1:5" ht="14.45" customHeight="1" x14ac:dyDescent="0.25">
      <c r="A188" s="21"/>
      <c r="B188" s="14" t="s">
        <v>341</v>
      </c>
      <c r="C188" s="14">
        <v>7008132</v>
      </c>
      <c r="D188" s="22" t="s">
        <v>342</v>
      </c>
      <c r="E188" s="97">
        <v>529.99</v>
      </c>
    </row>
    <row r="189" spans="1:5" ht="14.45" customHeight="1" x14ac:dyDescent="0.25">
      <c r="A189" s="21"/>
      <c r="B189" s="14" t="s">
        <v>343</v>
      </c>
      <c r="C189" s="14">
        <v>7008134</v>
      </c>
      <c r="D189" s="22" t="s">
        <v>344</v>
      </c>
      <c r="E189" s="97">
        <v>529.99</v>
      </c>
    </row>
    <row r="190" spans="1:5" ht="14.45" customHeight="1" x14ac:dyDescent="0.25">
      <c r="A190" s="21"/>
      <c r="B190" s="14" t="s">
        <v>345</v>
      </c>
      <c r="C190" s="14">
        <v>7008135</v>
      </c>
      <c r="D190" s="22" t="s">
        <v>346</v>
      </c>
      <c r="E190" s="97">
        <v>529.99</v>
      </c>
    </row>
    <row r="191" spans="1:5" ht="14.45" customHeight="1" x14ac:dyDescent="0.25">
      <c r="A191" s="21"/>
      <c r="B191" s="14" t="s">
        <v>347</v>
      </c>
      <c r="C191" s="14">
        <v>7008146</v>
      </c>
      <c r="D191" s="22" t="s">
        <v>348</v>
      </c>
      <c r="E191" s="97">
        <v>529.99</v>
      </c>
    </row>
    <row r="192" spans="1:5" ht="14.45" customHeight="1" x14ac:dyDescent="0.25">
      <c r="A192" s="21"/>
      <c r="B192" s="14" t="s">
        <v>287</v>
      </c>
      <c r="C192" s="14">
        <v>70008150</v>
      </c>
      <c r="D192" s="14" t="s">
        <v>290</v>
      </c>
      <c r="E192" s="97">
        <v>509.99</v>
      </c>
    </row>
    <row r="193" spans="1:6" ht="14.45" customHeight="1" x14ac:dyDescent="0.25">
      <c r="A193" s="21"/>
      <c r="B193" s="14" t="s">
        <v>288</v>
      </c>
      <c r="C193" s="14">
        <v>70008185</v>
      </c>
      <c r="D193" s="14" t="s">
        <v>291</v>
      </c>
      <c r="E193" s="97">
        <v>509.99</v>
      </c>
    </row>
    <row r="194" spans="1:6" ht="14.45" customHeight="1" x14ac:dyDescent="0.25">
      <c r="A194" s="21"/>
      <c r="B194" s="14" t="s">
        <v>289</v>
      </c>
      <c r="C194" s="14">
        <v>70008186</v>
      </c>
      <c r="D194" s="14" t="s">
        <v>292</v>
      </c>
      <c r="E194" s="97">
        <v>509.99</v>
      </c>
    </row>
    <row r="195" spans="1:6" ht="14.45" customHeight="1" x14ac:dyDescent="0.25">
      <c r="A195" s="21"/>
      <c r="B195" s="14" t="s">
        <v>295</v>
      </c>
      <c r="C195" s="14">
        <v>70008213</v>
      </c>
      <c r="D195" s="93" t="s">
        <v>298</v>
      </c>
      <c r="E195" s="97">
        <v>349.99</v>
      </c>
    </row>
    <row r="196" spans="1:6" ht="13.5" customHeight="1" x14ac:dyDescent="0.25">
      <c r="A196" s="21"/>
      <c r="B196" s="14" t="s">
        <v>296</v>
      </c>
      <c r="C196" s="14">
        <v>70008214</v>
      </c>
      <c r="D196" s="93" t="s">
        <v>299</v>
      </c>
      <c r="E196" s="97">
        <v>349.99</v>
      </c>
    </row>
    <row r="197" spans="1:6" ht="13.5" customHeight="1" x14ac:dyDescent="0.25">
      <c r="A197" s="21"/>
      <c r="B197" s="14" t="s">
        <v>297</v>
      </c>
      <c r="C197" s="14">
        <v>70008227</v>
      </c>
      <c r="D197" s="93" t="s">
        <v>300</v>
      </c>
      <c r="E197" s="97">
        <v>349.99</v>
      </c>
    </row>
    <row r="198" spans="1:6" ht="14.45" customHeight="1" x14ac:dyDescent="0.25">
      <c r="A198" s="21"/>
      <c r="B198" s="14" t="s">
        <v>281</v>
      </c>
      <c r="C198" s="14">
        <v>70008157</v>
      </c>
      <c r="D198" s="93" t="s">
        <v>284</v>
      </c>
      <c r="E198" s="97">
        <v>279.99</v>
      </c>
    </row>
    <row r="199" spans="1:6" ht="14.45" customHeight="1" x14ac:dyDescent="0.25">
      <c r="A199" s="21"/>
      <c r="B199" s="14" t="s">
        <v>282</v>
      </c>
      <c r="C199" s="14">
        <v>7000815</v>
      </c>
      <c r="D199" s="93" t="s">
        <v>285</v>
      </c>
      <c r="E199" s="97">
        <v>279.99</v>
      </c>
    </row>
    <row r="200" spans="1:6" ht="14.45" customHeight="1" x14ac:dyDescent="0.25">
      <c r="A200" s="21"/>
      <c r="B200" s="14" t="s">
        <v>283</v>
      </c>
      <c r="C200" s="14">
        <v>70008159</v>
      </c>
      <c r="D200" s="93" t="s">
        <v>286</v>
      </c>
      <c r="E200" s="97">
        <v>279.99</v>
      </c>
    </row>
    <row r="201" spans="1:6" ht="14.45" customHeight="1" x14ac:dyDescent="0.25">
      <c r="A201" s="21"/>
      <c r="B201" s="14" t="s">
        <v>349</v>
      </c>
      <c r="C201" s="14">
        <v>7008057</v>
      </c>
      <c r="D201" s="22" t="s">
        <v>353</v>
      </c>
      <c r="E201" s="97">
        <v>159.99</v>
      </c>
    </row>
    <row r="202" spans="1:6" ht="14.45" customHeight="1" x14ac:dyDescent="0.25">
      <c r="A202" s="21"/>
      <c r="B202" s="14" t="s">
        <v>350</v>
      </c>
      <c r="C202" s="14">
        <v>7008058</v>
      </c>
      <c r="D202" s="22" t="s">
        <v>354</v>
      </c>
      <c r="E202" s="97">
        <v>159.99</v>
      </c>
    </row>
    <row r="203" spans="1:6" ht="14.45" customHeight="1" x14ac:dyDescent="0.25">
      <c r="A203" s="21"/>
      <c r="B203" s="14" t="s">
        <v>351</v>
      </c>
      <c r="C203" s="14">
        <v>7008078</v>
      </c>
      <c r="D203" s="22" t="s">
        <v>355</v>
      </c>
      <c r="E203" s="97">
        <v>159.99</v>
      </c>
    </row>
    <row r="204" spans="1:6" ht="14.45" customHeight="1" x14ac:dyDescent="0.25">
      <c r="A204" s="21"/>
      <c r="B204" s="14" t="s">
        <v>352</v>
      </c>
      <c r="C204" s="14">
        <v>7008063</v>
      </c>
      <c r="D204" s="22" t="s">
        <v>356</v>
      </c>
      <c r="E204" s="97">
        <v>159.99</v>
      </c>
    </row>
    <row r="205" spans="1:6" ht="14.45" customHeight="1" x14ac:dyDescent="0.25">
      <c r="A205" s="21"/>
      <c r="B205" s="14" t="s">
        <v>253</v>
      </c>
      <c r="C205" s="14">
        <v>70007873</v>
      </c>
      <c r="D205" s="22" t="s">
        <v>254</v>
      </c>
      <c r="E205" s="97">
        <v>159.99</v>
      </c>
    </row>
    <row r="206" spans="1:6" ht="14.45" customHeight="1" x14ac:dyDescent="0.25">
      <c r="A206" s="21"/>
      <c r="B206" s="14" t="s">
        <v>255</v>
      </c>
      <c r="C206" s="14">
        <v>70007874</v>
      </c>
      <c r="D206" s="22" t="s">
        <v>256</v>
      </c>
      <c r="E206" s="97">
        <v>159.99</v>
      </c>
    </row>
    <row r="207" spans="1:6" ht="14.45" customHeight="1" x14ac:dyDescent="0.25">
      <c r="A207" s="21"/>
      <c r="B207" s="14" t="s">
        <v>257</v>
      </c>
      <c r="C207" s="14">
        <v>70007875</v>
      </c>
      <c r="D207" s="22" t="s">
        <v>258</v>
      </c>
      <c r="E207" s="97">
        <v>159.99</v>
      </c>
    </row>
    <row r="208" spans="1:6" s="19" customFormat="1" x14ac:dyDescent="0.25">
      <c r="A208" s="1"/>
      <c r="B208" s="54"/>
      <c r="C208" s="54"/>
      <c r="D208"/>
      <c r="E208" s="4"/>
      <c r="F208"/>
    </row>
    <row r="209" spans="1:6" s="19" customFormat="1" x14ac:dyDescent="0.25">
      <c r="A209" s="1"/>
      <c r="B209" s="54"/>
      <c r="C209" s="54"/>
      <c r="D209"/>
      <c r="E209" s="4"/>
      <c r="F209"/>
    </row>
    <row r="210" spans="1:6" x14ac:dyDescent="0.25">
      <c r="B210" s="54"/>
      <c r="C210" s="54"/>
    </row>
    <row r="211" spans="1:6" x14ac:dyDescent="0.25">
      <c r="B211" s="54"/>
      <c r="C211" s="54"/>
    </row>
    <row r="212" spans="1:6" x14ac:dyDescent="0.25">
      <c r="B212" s="54"/>
      <c r="C212" s="54"/>
    </row>
    <row r="213" spans="1:6" x14ac:dyDescent="0.25">
      <c r="B213" s="54"/>
      <c r="C213" s="54"/>
    </row>
    <row r="214" spans="1:6" x14ac:dyDescent="0.25">
      <c r="B214" s="54"/>
      <c r="C214" s="54"/>
    </row>
    <row r="215" spans="1:6" x14ac:dyDescent="0.25">
      <c r="B215" s="54"/>
      <c r="C215" s="54"/>
    </row>
    <row r="216" spans="1:6" x14ac:dyDescent="0.25">
      <c r="B216" s="54"/>
      <c r="C216" s="54"/>
    </row>
    <row r="217" spans="1:6" x14ac:dyDescent="0.25">
      <c r="B217" s="54"/>
      <c r="C217" s="54"/>
    </row>
    <row r="218" spans="1:6" x14ac:dyDescent="0.25">
      <c r="B218" s="54"/>
      <c r="C218" s="54"/>
    </row>
    <row r="219" spans="1:6" x14ac:dyDescent="0.25">
      <c r="B219" s="54"/>
      <c r="C219" s="54"/>
    </row>
    <row r="220" spans="1:6" x14ac:dyDescent="0.25">
      <c r="B220" s="54"/>
      <c r="C220" s="54"/>
    </row>
    <row r="221" spans="1:6" x14ac:dyDescent="0.25">
      <c r="B221" s="54"/>
      <c r="C221" s="54"/>
    </row>
    <row r="222" spans="1:6" x14ac:dyDescent="0.25">
      <c r="B222" s="54"/>
      <c r="C222" s="54"/>
    </row>
    <row r="223" spans="1:6" x14ac:dyDescent="0.25">
      <c r="B223" s="54"/>
      <c r="C223" s="54"/>
    </row>
    <row r="224" spans="1:6" x14ac:dyDescent="0.25">
      <c r="B224" s="54"/>
      <c r="C224" s="54"/>
    </row>
  </sheetData>
  <sortState xmlns:xlrd2="http://schemas.microsoft.com/office/spreadsheetml/2017/richdata2" ref="B143:E207">
    <sortCondition descending="1" ref="E143:E207"/>
  </sortState>
  <conditionalFormatting sqref="A131:A132">
    <cfRule type="duplicateValues" dxfId="99" priority="81"/>
  </conditionalFormatting>
  <conditionalFormatting sqref="A135:A136">
    <cfRule type="duplicateValues" dxfId="98" priority="87"/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0"/>
  <sheetViews>
    <sheetView showGridLines="0" topLeftCell="A10" zoomScale="70" zoomScaleNormal="70" workbookViewId="0">
      <selection activeCell="F33" sqref="F33"/>
    </sheetView>
  </sheetViews>
  <sheetFormatPr defaultColWidth="21.85546875" defaultRowHeight="15.75" x14ac:dyDescent="0.25"/>
  <cols>
    <col min="1" max="1" width="13" style="89" customWidth="1"/>
    <col min="2" max="2" width="11.5703125" style="89" hidden="1" customWidth="1"/>
    <col min="3" max="3" width="11.5703125" style="89" customWidth="1"/>
    <col min="4" max="4" width="18.85546875" style="89" customWidth="1"/>
    <col min="5" max="5" width="76.140625" style="89" customWidth="1"/>
    <col min="6" max="6" width="13.28515625" style="89" customWidth="1"/>
    <col min="7" max="7" width="16.140625" style="89" customWidth="1"/>
    <col min="8" max="15" width="12.140625" style="89" customWidth="1"/>
    <col min="16" max="16" width="12.140625" style="89" hidden="1" customWidth="1"/>
    <col min="17" max="17" width="12.28515625" style="89" customWidth="1"/>
    <col min="18" max="49" width="21.85546875" style="89" customWidth="1"/>
    <col min="50" max="16384" width="21.85546875" style="89"/>
  </cols>
  <sheetData>
    <row r="1" spans="1:20" x14ac:dyDescent="0.25">
      <c r="A1" s="164"/>
      <c r="B1" s="165"/>
      <c r="C1" s="166"/>
      <c r="D1" s="166"/>
      <c r="E1" s="167"/>
      <c r="F1" s="167"/>
      <c r="G1" s="167"/>
      <c r="H1" s="255"/>
      <c r="I1" s="255"/>
      <c r="J1" s="255"/>
      <c r="K1" s="255"/>
      <c r="L1" s="255"/>
      <c r="M1" s="255"/>
      <c r="N1" s="255"/>
      <c r="O1" s="255"/>
      <c r="P1" s="256"/>
      <c r="Q1" s="167"/>
    </row>
    <row r="2" spans="1:20" x14ac:dyDescent="0.25">
      <c r="A2" s="168"/>
      <c r="B2" s="168"/>
      <c r="C2" s="169"/>
      <c r="D2" s="169"/>
      <c r="E2" s="257" t="s">
        <v>40</v>
      </c>
      <c r="F2" s="257"/>
      <c r="G2" s="257"/>
      <c r="H2" s="257"/>
      <c r="I2" s="257"/>
      <c r="J2" s="257"/>
      <c r="K2" s="257"/>
      <c r="L2" s="257"/>
      <c r="M2" s="171"/>
      <c r="N2" s="171"/>
      <c r="O2" s="171"/>
      <c r="P2" s="171"/>
      <c r="Q2" s="171"/>
      <c r="R2" s="171"/>
    </row>
    <row r="3" spans="1:20" x14ac:dyDescent="0.25">
      <c r="A3" s="168"/>
      <c r="B3" s="168"/>
      <c r="C3" s="169"/>
      <c r="D3" s="169"/>
      <c r="E3" s="257" t="s">
        <v>895</v>
      </c>
      <c r="F3" s="257"/>
      <c r="G3" s="257"/>
      <c r="H3" s="257"/>
      <c r="I3" s="257"/>
      <c r="J3" s="257"/>
      <c r="K3" s="257"/>
      <c r="L3" s="257"/>
      <c r="M3" s="171"/>
      <c r="N3" s="171"/>
      <c r="O3" s="171"/>
      <c r="P3" s="171"/>
      <c r="Q3" s="171"/>
      <c r="R3" s="171"/>
    </row>
    <row r="4" spans="1:20" x14ac:dyDescent="0.25">
      <c r="A4" s="168"/>
      <c r="B4" s="168"/>
      <c r="C4" s="169"/>
      <c r="D4" s="169"/>
      <c r="E4" s="172"/>
      <c r="F4" s="172"/>
      <c r="G4" s="254"/>
      <c r="H4" s="254"/>
      <c r="I4" s="254"/>
      <c r="J4" s="254"/>
      <c r="K4" s="168"/>
      <c r="L4" s="168"/>
      <c r="M4" s="168"/>
      <c r="N4" s="168"/>
      <c r="O4" s="168"/>
      <c r="P4" s="168"/>
      <c r="Q4" s="168"/>
      <c r="R4" s="168"/>
    </row>
    <row r="5" spans="1:20" x14ac:dyDescent="0.25">
      <c r="A5" s="174"/>
      <c r="B5" s="168"/>
      <c r="C5" s="169"/>
      <c r="D5" s="169"/>
      <c r="E5" s="175"/>
      <c r="F5" s="172"/>
      <c r="G5" s="170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</row>
    <row r="6" spans="1:20" ht="63" x14ac:dyDescent="0.25">
      <c r="A6" s="253" t="s">
        <v>41</v>
      </c>
      <c r="B6" s="253"/>
      <c r="C6" s="253"/>
      <c r="D6" s="253"/>
      <c r="E6" s="253"/>
      <c r="F6" s="176" t="s">
        <v>42</v>
      </c>
      <c r="G6" s="177" t="s">
        <v>43</v>
      </c>
      <c r="H6" s="177" t="s">
        <v>44</v>
      </c>
      <c r="I6" s="177" t="s">
        <v>45</v>
      </c>
      <c r="J6" s="177" t="s">
        <v>46</v>
      </c>
      <c r="K6" s="177" t="s">
        <v>47</v>
      </c>
      <c r="L6" s="177" t="s">
        <v>48</v>
      </c>
      <c r="M6" s="177" t="s">
        <v>49</v>
      </c>
      <c r="N6" s="177" t="s">
        <v>50</v>
      </c>
      <c r="O6" s="177" t="s">
        <v>51</v>
      </c>
      <c r="P6" s="177" t="s">
        <v>52</v>
      </c>
      <c r="Q6" s="177" t="s">
        <v>53</v>
      </c>
    </row>
    <row r="7" spans="1:20" ht="63" x14ac:dyDescent="0.25">
      <c r="A7" s="178" t="s">
        <v>54</v>
      </c>
      <c r="B7" s="177" t="s">
        <v>1</v>
      </c>
      <c r="C7" s="177" t="s">
        <v>2</v>
      </c>
      <c r="D7" s="177" t="s">
        <v>3</v>
      </c>
      <c r="E7" s="178" t="s">
        <v>4</v>
      </c>
      <c r="F7" s="179" t="s">
        <v>538</v>
      </c>
      <c r="G7" s="179" t="s">
        <v>665</v>
      </c>
      <c r="H7" s="179" t="s">
        <v>666</v>
      </c>
      <c r="I7" s="179" t="s">
        <v>667</v>
      </c>
      <c r="J7" s="179" t="s">
        <v>668</v>
      </c>
      <c r="K7" s="179" t="s">
        <v>669</v>
      </c>
      <c r="L7" s="179" t="s">
        <v>670</v>
      </c>
      <c r="M7" s="179" t="s">
        <v>671</v>
      </c>
      <c r="N7" s="179" t="s">
        <v>672</v>
      </c>
      <c r="O7" s="179" t="s">
        <v>673</v>
      </c>
      <c r="P7" s="179" t="s">
        <v>674</v>
      </c>
      <c r="Q7" s="179" t="s">
        <v>675</v>
      </c>
      <c r="T7" s="40"/>
    </row>
    <row r="8" spans="1:20" s="188" customFormat="1" ht="16.5" customHeight="1" x14ac:dyDescent="0.25">
      <c r="A8" s="185" t="s">
        <v>676</v>
      </c>
      <c r="B8" s="185"/>
      <c r="C8" s="186"/>
      <c r="D8" s="186"/>
      <c r="E8" s="185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T8" s="40"/>
    </row>
    <row r="9" spans="1:20" s="189" customFormat="1" ht="13.5" customHeight="1" x14ac:dyDescent="0.25">
      <c r="A9" s="43" t="s">
        <v>57</v>
      </c>
      <c r="B9" s="213"/>
      <c r="C9" s="214" t="s">
        <v>819</v>
      </c>
      <c r="D9" s="44">
        <v>7012802</v>
      </c>
      <c r="E9" s="214" t="s">
        <v>820</v>
      </c>
      <c r="F9" s="215">
        <v>599.99</v>
      </c>
      <c r="G9" s="53">
        <v>599.99</v>
      </c>
      <c r="H9" s="53">
        <v>599.99</v>
      </c>
      <c r="I9" s="53">
        <v>599.99</v>
      </c>
      <c r="J9" s="53">
        <v>599.99</v>
      </c>
      <c r="K9" s="53">
        <v>499.99</v>
      </c>
      <c r="L9" s="53">
        <v>299.99</v>
      </c>
      <c r="M9" s="53">
        <v>299.99</v>
      </c>
      <c r="N9" s="53">
        <v>299.99</v>
      </c>
      <c r="O9" s="53">
        <v>299.99</v>
      </c>
      <c r="P9" s="53">
        <v>299.99</v>
      </c>
      <c r="Q9" s="53">
        <v>299.99</v>
      </c>
      <c r="T9" s="49"/>
    </row>
    <row r="10" spans="1:20" s="189" customFormat="1" ht="12.75" customHeight="1" x14ac:dyDescent="0.2">
      <c r="A10" s="43" t="s">
        <v>57</v>
      </c>
      <c r="B10" s="43"/>
      <c r="C10" s="44" t="s">
        <v>821</v>
      </c>
      <c r="D10" s="44">
        <v>7012279</v>
      </c>
      <c r="E10" s="216" t="s">
        <v>822</v>
      </c>
      <c r="F10" s="45">
        <v>299.99</v>
      </c>
      <c r="G10" s="46">
        <v>299.99</v>
      </c>
      <c r="H10" s="46">
        <v>299.99</v>
      </c>
      <c r="I10" s="46">
        <v>299.99</v>
      </c>
      <c r="J10" s="46">
        <v>299.99</v>
      </c>
      <c r="K10" s="46">
        <v>199.99</v>
      </c>
      <c r="L10" s="46">
        <v>99.99</v>
      </c>
      <c r="M10" s="46">
        <v>0</v>
      </c>
      <c r="N10" s="46">
        <v>0</v>
      </c>
      <c r="O10" s="46">
        <v>0</v>
      </c>
      <c r="P10" s="46">
        <v>0</v>
      </c>
      <c r="Q10" s="46">
        <v>0</v>
      </c>
      <c r="T10" s="49"/>
    </row>
    <row r="11" spans="1:20" s="189" customFormat="1" ht="12.75" customHeight="1" x14ac:dyDescent="0.2">
      <c r="A11" s="43" t="s">
        <v>57</v>
      </c>
      <c r="B11" s="43"/>
      <c r="C11" s="44" t="s">
        <v>823</v>
      </c>
      <c r="D11" s="44">
        <v>7013126</v>
      </c>
      <c r="E11" s="216" t="s">
        <v>824</v>
      </c>
      <c r="F11" s="45">
        <v>299.99</v>
      </c>
      <c r="G11" s="46">
        <v>299.99</v>
      </c>
      <c r="H11" s="46">
        <v>299.99</v>
      </c>
      <c r="I11" s="46">
        <v>299.99</v>
      </c>
      <c r="J11" s="46">
        <v>299.99</v>
      </c>
      <c r="K11" s="46">
        <v>199.99</v>
      </c>
      <c r="L11" s="46">
        <v>99.99</v>
      </c>
      <c r="M11" s="46">
        <v>99.99</v>
      </c>
      <c r="N11" s="46">
        <v>0</v>
      </c>
      <c r="O11" s="46">
        <v>0</v>
      </c>
      <c r="P11" s="46">
        <v>0</v>
      </c>
      <c r="Q11" s="46">
        <v>0</v>
      </c>
      <c r="T11" s="49"/>
    </row>
    <row r="12" spans="1:20" s="189" customFormat="1" ht="12.75" customHeight="1" x14ac:dyDescent="0.2">
      <c r="A12" s="43" t="s">
        <v>57</v>
      </c>
      <c r="B12" s="43"/>
      <c r="C12" s="44" t="s">
        <v>517</v>
      </c>
      <c r="D12" s="44">
        <v>70009571</v>
      </c>
      <c r="E12" s="216" t="s">
        <v>518</v>
      </c>
      <c r="F12" s="45">
        <v>399.99</v>
      </c>
      <c r="G12" s="46">
        <v>399.99</v>
      </c>
      <c r="H12" s="46">
        <v>399.99</v>
      </c>
      <c r="I12" s="46">
        <v>399.99</v>
      </c>
      <c r="J12" s="46">
        <v>299.99</v>
      </c>
      <c r="K12" s="46">
        <v>249.99</v>
      </c>
      <c r="L12" s="46">
        <v>199.99</v>
      </c>
      <c r="M12" s="46">
        <v>199.99</v>
      </c>
      <c r="N12" s="46">
        <v>199.99</v>
      </c>
      <c r="O12" s="46">
        <v>199.99</v>
      </c>
      <c r="P12" s="46">
        <v>199.99</v>
      </c>
      <c r="Q12" s="46">
        <v>199.99</v>
      </c>
      <c r="T12" s="49"/>
    </row>
    <row r="13" spans="1:20" s="189" customFormat="1" ht="12.75" customHeight="1" x14ac:dyDescent="0.2">
      <c r="A13" s="43" t="s">
        <v>57</v>
      </c>
      <c r="B13" s="43"/>
      <c r="C13" s="44" t="s">
        <v>515</v>
      </c>
      <c r="D13" s="44">
        <v>70008216</v>
      </c>
      <c r="E13" s="216" t="s">
        <v>516</v>
      </c>
      <c r="F13" s="45">
        <v>139.99</v>
      </c>
      <c r="G13" s="46">
        <v>139.99</v>
      </c>
      <c r="H13" s="46">
        <v>139.99</v>
      </c>
      <c r="I13" s="46">
        <v>139.99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T13" s="49"/>
    </row>
    <row r="14" spans="1:20" x14ac:dyDescent="0.25">
      <c r="A14" s="43" t="s">
        <v>57</v>
      </c>
      <c r="B14" s="43"/>
      <c r="C14" s="44" t="s">
        <v>519</v>
      </c>
      <c r="D14" s="44">
        <v>70010844</v>
      </c>
      <c r="E14" s="216" t="s">
        <v>520</v>
      </c>
      <c r="F14" s="45">
        <v>99.99</v>
      </c>
      <c r="G14" s="46">
        <v>99.99</v>
      </c>
      <c r="H14" s="46">
        <v>99.99</v>
      </c>
      <c r="I14" s="46">
        <v>41.99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</row>
    <row r="15" spans="1:20" x14ac:dyDescent="0.25">
      <c r="A15" s="43" t="s">
        <v>57</v>
      </c>
      <c r="B15" s="217"/>
      <c r="C15" s="44" t="s">
        <v>825</v>
      </c>
      <c r="D15" s="44">
        <v>7012893</v>
      </c>
      <c r="E15" s="216" t="s">
        <v>826</v>
      </c>
      <c r="F15" s="53">
        <v>99.99</v>
      </c>
      <c r="G15" s="53">
        <v>99.99</v>
      </c>
      <c r="H15" s="53">
        <v>99.99</v>
      </c>
      <c r="I15" s="53">
        <v>0</v>
      </c>
      <c r="J15" s="53">
        <v>0</v>
      </c>
      <c r="K15" s="53">
        <v>0</v>
      </c>
      <c r="L15" s="53">
        <v>0</v>
      </c>
      <c r="M15" s="53">
        <v>0</v>
      </c>
      <c r="N15" s="53">
        <v>0</v>
      </c>
      <c r="O15" s="46">
        <v>0</v>
      </c>
      <c r="P15" s="46">
        <v>0</v>
      </c>
      <c r="Q15" s="46">
        <v>0</v>
      </c>
    </row>
    <row r="16" spans="1:20" x14ac:dyDescent="0.25">
      <c r="A16" s="44" t="s">
        <v>55</v>
      </c>
      <c r="B16" s="217"/>
      <c r="C16" s="44" t="s">
        <v>309</v>
      </c>
      <c r="D16" s="44">
        <v>70007573</v>
      </c>
      <c r="E16" s="216" t="s">
        <v>310</v>
      </c>
      <c r="F16" s="53">
        <v>99.99</v>
      </c>
      <c r="G16" s="53">
        <v>99.99</v>
      </c>
      <c r="H16" s="53">
        <v>99.99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  <c r="N16" s="53">
        <v>0</v>
      </c>
      <c r="O16" s="46">
        <v>0</v>
      </c>
      <c r="P16" s="46">
        <v>0</v>
      </c>
      <c r="Q16" s="46">
        <v>0</v>
      </c>
    </row>
    <row r="17" spans="1:20" x14ac:dyDescent="0.25">
      <c r="A17" s="180" t="s">
        <v>65</v>
      </c>
      <c r="B17" s="190"/>
      <c r="C17" s="190"/>
      <c r="D17" s="190"/>
      <c r="E17" s="190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T17" s="49"/>
    </row>
    <row r="18" spans="1:20" s="3" customFormat="1" x14ac:dyDescent="0.25">
      <c r="A18" s="219" t="s">
        <v>57</v>
      </c>
      <c r="B18" s="219"/>
      <c r="C18" s="220" t="s">
        <v>809</v>
      </c>
      <c r="D18" s="220">
        <v>7013109</v>
      </c>
      <c r="E18" s="218" t="s">
        <v>827</v>
      </c>
      <c r="F18" s="221">
        <v>574.99</v>
      </c>
      <c r="G18" s="230">
        <v>574.99</v>
      </c>
      <c r="H18" s="235">
        <v>504.99</v>
      </c>
      <c r="I18" s="235">
        <v>484.99</v>
      </c>
      <c r="J18" s="235">
        <v>444.99</v>
      </c>
      <c r="K18" s="235">
        <v>404.99</v>
      </c>
      <c r="L18" s="235">
        <v>354.99</v>
      </c>
      <c r="M18" s="230">
        <v>324.99</v>
      </c>
      <c r="N18" s="230">
        <v>284.99</v>
      </c>
      <c r="O18" s="230">
        <v>244.99</v>
      </c>
      <c r="P18" s="230"/>
      <c r="Q18" s="230">
        <v>205.99</v>
      </c>
      <c r="S18" s="222"/>
    </row>
    <row r="19" spans="1:20" x14ac:dyDescent="0.25">
      <c r="A19" s="180" t="s">
        <v>311</v>
      </c>
      <c r="B19" s="190"/>
      <c r="C19" s="190"/>
      <c r="D19" s="190"/>
      <c r="E19" s="190"/>
      <c r="F19" s="191"/>
      <c r="G19" s="191"/>
      <c r="H19" s="236"/>
      <c r="I19" s="236"/>
      <c r="J19" s="236"/>
      <c r="K19" s="236"/>
      <c r="L19" s="236"/>
      <c r="M19" s="236"/>
      <c r="N19" s="236"/>
      <c r="O19" s="236"/>
      <c r="P19" s="236"/>
      <c r="Q19" s="236"/>
      <c r="T19" s="49"/>
    </row>
    <row r="20" spans="1:20" x14ac:dyDescent="0.25">
      <c r="A20" s="181" t="s">
        <v>57</v>
      </c>
      <c r="B20" s="194"/>
      <c r="C20" s="182" t="s">
        <v>569</v>
      </c>
      <c r="D20" s="182">
        <v>7012402</v>
      </c>
      <c r="E20" s="181" t="s">
        <v>835</v>
      </c>
      <c r="F20" s="183">
        <v>1589.99</v>
      </c>
      <c r="G20" s="183">
        <v>1159.99</v>
      </c>
      <c r="H20" s="183">
        <v>1129.99</v>
      </c>
      <c r="I20" s="183">
        <v>1119.99</v>
      </c>
      <c r="J20" s="183">
        <v>1099.99</v>
      </c>
      <c r="K20" s="223">
        <v>1049.99</v>
      </c>
      <c r="L20" s="223">
        <v>1010.99</v>
      </c>
      <c r="M20" s="223">
        <v>999.99</v>
      </c>
      <c r="N20" s="223">
        <v>949.99</v>
      </c>
      <c r="O20" s="223">
        <v>889.99</v>
      </c>
      <c r="P20" s="184"/>
      <c r="Q20" s="223">
        <v>799.99</v>
      </c>
    </row>
    <row r="21" spans="1:20" ht="17.25" customHeight="1" x14ac:dyDescent="0.25">
      <c r="A21" s="181" t="s">
        <v>57</v>
      </c>
      <c r="B21" s="194"/>
      <c r="C21" s="182" t="s">
        <v>571</v>
      </c>
      <c r="D21" s="182">
        <v>7012311</v>
      </c>
      <c r="E21" s="181" t="s">
        <v>828</v>
      </c>
      <c r="F21" s="183">
        <v>1589.99</v>
      </c>
      <c r="G21" s="183">
        <v>1159.99</v>
      </c>
      <c r="H21" s="183">
        <v>1129.99</v>
      </c>
      <c r="I21" s="183">
        <v>1119.99</v>
      </c>
      <c r="J21" s="183">
        <v>1099.99</v>
      </c>
      <c r="K21" s="223">
        <v>1049.99</v>
      </c>
      <c r="L21" s="223">
        <v>1010.99</v>
      </c>
      <c r="M21" s="223">
        <v>999.99</v>
      </c>
      <c r="N21" s="223">
        <v>949.99</v>
      </c>
      <c r="O21" s="223">
        <v>889.99</v>
      </c>
      <c r="P21" s="184"/>
      <c r="Q21" s="223">
        <v>799.99</v>
      </c>
    </row>
    <row r="22" spans="1:20" x14ac:dyDescent="0.25">
      <c r="A22" s="181" t="s">
        <v>57</v>
      </c>
      <c r="B22" s="194"/>
      <c r="C22" s="182" t="s">
        <v>565</v>
      </c>
      <c r="D22" s="182">
        <v>7012401</v>
      </c>
      <c r="E22" s="181" t="s">
        <v>829</v>
      </c>
      <c r="F22" s="183">
        <v>1269.99</v>
      </c>
      <c r="G22" s="183">
        <v>889.99</v>
      </c>
      <c r="H22" s="183">
        <v>839.99</v>
      </c>
      <c r="I22" s="183">
        <v>829.99</v>
      </c>
      <c r="J22" s="183">
        <v>799.99</v>
      </c>
      <c r="K22" s="223">
        <v>769.99</v>
      </c>
      <c r="L22" s="223">
        <v>739.99</v>
      </c>
      <c r="M22" s="223">
        <v>719.99</v>
      </c>
      <c r="N22" s="223">
        <v>689.99</v>
      </c>
      <c r="O22" s="223">
        <v>649.99</v>
      </c>
      <c r="P22" s="184"/>
      <c r="Q22" s="223">
        <v>529.99</v>
      </c>
    </row>
    <row r="23" spans="1:20" x14ac:dyDescent="0.25">
      <c r="A23" s="181" t="s">
        <v>57</v>
      </c>
      <c r="B23" s="194"/>
      <c r="C23" s="182" t="s">
        <v>567</v>
      </c>
      <c r="D23" s="182">
        <v>7012423</v>
      </c>
      <c r="E23" s="181" t="s">
        <v>830</v>
      </c>
      <c r="F23" s="183">
        <v>1269.99</v>
      </c>
      <c r="G23" s="183">
        <v>889.99</v>
      </c>
      <c r="H23" s="183">
        <v>839.99</v>
      </c>
      <c r="I23" s="183">
        <v>829.99</v>
      </c>
      <c r="J23" s="183">
        <v>799.99</v>
      </c>
      <c r="K23" s="223">
        <v>769.99</v>
      </c>
      <c r="L23" s="223">
        <v>739.99</v>
      </c>
      <c r="M23" s="223">
        <v>719.99</v>
      </c>
      <c r="N23" s="223">
        <v>689.99</v>
      </c>
      <c r="O23" s="223">
        <v>649.99</v>
      </c>
      <c r="P23" s="184"/>
      <c r="Q23" s="223">
        <v>529.99</v>
      </c>
    </row>
    <row r="24" spans="1:20" x14ac:dyDescent="0.25">
      <c r="A24" s="181" t="s">
        <v>57</v>
      </c>
      <c r="B24" s="194"/>
      <c r="C24" s="182" t="s">
        <v>803</v>
      </c>
      <c r="D24" s="182">
        <v>7013185</v>
      </c>
      <c r="E24" s="195" t="s">
        <v>804</v>
      </c>
      <c r="F24" s="230">
        <v>889.99</v>
      </c>
      <c r="G24" s="230">
        <v>889.99</v>
      </c>
      <c r="H24" s="230">
        <v>839.99</v>
      </c>
      <c r="I24" s="230">
        <v>829.99</v>
      </c>
      <c r="J24" s="230">
        <v>799.99</v>
      </c>
      <c r="K24" s="237">
        <v>769.99</v>
      </c>
      <c r="L24" s="237">
        <v>739.99</v>
      </c>
      <c r="M24" s="237">
        <v>719.99</v>
      </c>
      <c r="N24" s="237">
        <v>689.99</v>
      </c>
      <c r="O24" s="237">
        <v>649.99</v>
      </c>
      <c r="P24" s="238"/>
      <c r="Q24" s="237">
        <v>529.99</v>
      </c>
    </row>
    <row r="25" spans="1:20" x14ac:dyDescent="0.25">
      <c r="A25" s="181" t="s">
        <v>57</v>
      </c>
      <c r="B25" s="194"/>
      <c r="C25" s="182" t="s">
        <v>805</v>
      </c>
      <c r="D25" s="182">
        <v>7013186</v>
      </c>
      <c r="E25" s="195" t="s">
        <v>806</v>
      </c>
      <c r="F25" s="230">
        <v>889.99</v>
      </c>
      <c r="G25" s="230">
        <v>889.99</v>
      </c>
      <c r="H25" s="230">
        <v>839.99</v>
      </c>
      <c r="I25" s="230">
        <v>829.99</v>
      </c>
      <c r="J25" s="230">
        <v>799.99</v>
      </c>
      <c r="K25" s="237">
        <v>769.99</v>
      </c>
      <c r="L25" s="237">
        <v>739.99</v>
      </c>
      <c r="M25" s="237">
        <v>719.99</v>
      </c>
      <c r="N25" s="237">
        <v>689.99</v>
      </c>
      <c r="O25" s="237">
        <v>649.99</v>
      </c>
      <c r="P25" s="238"/>
      <c r="Q25" s="237">
        <v>529.99</v>
      </c>
    </row>
    <row r="26" spans="1:20" s="1" customFormat="1" x14ac:dyDescent="0.25">
      <c r="A26" s="181" t="s">
        <v>57</v>
      </c>
      <c r="B26" s="194"/>
      <c r="C26" s="182" t="s">
        <v>807</v>
      </c>
      <c r="D26" s="182">
        <v>7013187</v>
      </c>
      <c r="E26" s="195" t="s">
        <v>808</v>
      </c>
      <c r="F26" s="230">
        <v>889.99</v>
      </c>
      <c r="G26" s="230">
        <v>889.99</v>
      </c>
      <c r="H26" s="230">
        <v>839.99</v>
      </c>
      <c r="I26" s="230">
        <v>829.99</v>
      </c>
      <c r="J26" s="230">
        <v>799.99</v>
      </c>
      <c r="K26" s="237">
        <v>769.99</v>
      </c>
      <c r="L26" s="237">
        <v>739.99</v>
      </c>
      <c r="M26" s="237">
        <v>719.99</v>
      </c>
      <c r="N26" s="237">
        <v>689.99</v>
      </c>
      <c r="O26" s="237">
        <v>649.99</v>
      </c>
      <c r="P26" s="238"/>
      <c r="Q26" s="237">
        <v>529.99</v>
      </c>
    </row>
    <row r="27" spans="1:20" x14ac:dyDescent="0.25">
      <c r="A27" s="181" t="s">
        <v>57</v>
      </c>
      <c r="B27" s="189"/>
      <c r="C27" s="182" t="s">
        <v>797</v>
      </c>
      <c r="D27" s="182">
        <v>7013179</v>
      </c>
      <c r="E27" s="231" t="s">
        <v>798</v>
      </c>
      <c r="F27" s="230">
        <v>539.99</v>
      </c>
      <c r="G27" s="230">
        <v>539.99</v>
      </c>
      <c r="H27" s="230">
        <v>469.99</v>
      </c>
      <c r="I27" s="230">
        <v>449.99</v>
      </c>
      <c r="J27" s="230">
        <v>409.99</v>
      </c>
      <c r="K27" s="230">
        <v>369.99</v>
      </c>
      <c r="L27" s="230">
        <v>320.99</v>
      </c>
      <c r="M27" s="230">
        <v>289.99</v>
      </c>
      <c r="N27" s="230">
        <v>249.99</v>
      </c>
      <c r="O27" s="230">
        <v>249.99</v>
      </c>
      <c r="P27" s="238"/>
      <c r="Q27" s="238">
        <v>170.99</v>
      </c>
    </row>
    <row r="28" spans="1:20" x14ac:dyDescent="0.25">
      <c r="A28" s="181" t="s">
        <v>57</v>
      </c>
      <c r="B28" s="189"/>
      <c r="C28" s="182" t="s">
        <v>799</v>
      </c>
      <c r="D28" s="182">
        <v>7013178</v>
      </c>
      <c r="E28" s="231" t="s">
        <v>800</v>
      </c>
      <c r="F28" s="230">
        <v>539.99</v>
      </c>
      <c r="G28" s="230">
        <v>539.99</v>
      </c>
      <c r="H28" s="230">
        <v>469.99</v>
      </c>
      <c r="I28" s="230">
        <v>379.99</v>
      </c>
      <c r="J28" s="230">
        <v>409.99</v>
      </c>
      <c r="K28" s="230">
        <v>369.99</v>
      </c>
      <c r="L28" s="230">
        <v>320.99</v>
      </c>
      <c r="M28" s="230">
        <v>289.99</v>
      </c>
      <c r="N28" s="230">
        <v>249.99</v>
      </c>
      <c r="O28" s="230">
        <v>249.99</v>
      </c>
      <c r="P28" s="238"/>
      <c r="Q28" s="238">
        <v>170.99</v>
      </c>
    </row>
    <row r="29" spans="1:20" x14ac:dyDescent="0.25">
      <c r="A29" s="181" t="s">
        <v>57</v>
      </c>
      <c r="B29" s="189"/>
      <c r="C29" s="182" t="s">
        <v>801</v>
      </c>
      <c r="D29" s="182">
        <v>7013180</v>
      </c>
      <c r="E29" s="231" t="s">
        <v>802</v>
      </c>
      <c r="F29" s="230">
        <v>539.99</v>
      </c>
      <c r="G29" s="230">
        <v>539.99</v>
      </c>
      <c r="H29" s="230">
        <v>469.99</v>
      </c>
      <c r="I29" s="230">
        <v>379.99</v>
      </c>
      <c r="J29" s="230">
        <v>409.99</v>
      </c>
      <c r="K29" s="230">
        <v>369.99</v>
      </c>
      <c r="L29" s="230">
        <v>320.99</v>
      </c>
      <c r="M29" s="230">
        <v>289.99</v>
      </c>
      <c r="N29" s="230">
        <v>249.99</v>
      </c>
      <c r="O29" s="230">
        <v>249.99</v>
      </c>
      <c r="P29" s="238"/>
      <c r="Q29" s="238">
        <v>170.99</v>
      </c>
    </row>
    <row r="30" spans="1:20" x14ac:dyDescent="0.25">
      <c r="A30" s="181" t="s">
        <v>57</v>
      </c>
      <c r="B30" s="194"/>
      <c r="C30" s="182" t="s">
        <v>687</v>
      </c>
      <c r="D30" s="182">
        <v>7012919</v>
      </c>
      <c r="E30" s="181" t="s">
        <v>688</v>
      </c>
      <c r="F30" s="183">
        <v>499.99</v>
      </c>
      <c r="G30" s="183">
        <v>469.99</v>
      </c>
      <c r="H30" s="183">
        <v>439.99</v>
      </c>
      <c r="I30" s="183">
        <v>409.99</v>
      </c>
      <c r="J30" s="183">
        <v>379.99</v>
      </c>
      <c r="K30" s="184">
        <v>349.99</v>
      </c>
      <c r="L30" s="184">
        <v>319.99</v>
      </c>
      <c r="M30" s="184">
        <v>289.99</v>
      </c>
      <c r="N30" s="184">
        <v>259.99</v>
      </c>
      <c r="O30" s="184">
        <v>229.99</v>
      </c>
      <c r="P30" s="184"/>
      <c r="Q30" s="184">
        <v>199.99</v>
      </c>
    </row>
  </sheetData>
  <autoFilter ref="A7:IC26" xr:uid="{00000000-0001-0000-0300-000000000000}"/>
  <sortState xmlns:xlrd2="http://schemas.microsoft.com/office/spreadsheetml/2017/richdata2" ref="A12:Q16">
    <sortCondition descending="1" ref="F12:F16"/>
  </sortState>
  <mergeCells count="5">
    <mergeCell ref="A6:E6"/>
    <mergeCell ref="G4:J4"/>
    <mergeCell ref="H1:P1"/>
    <mergeCell ref="E2:L2"/>
    <mergeCell ref="E3:L3"/>
  </mergeCells>
  <phoneticPr fontId="37" type="noConversion"/>
  <conditionalFormatting sqref="B10:B11">
    <cfRule type="duplicateValues" dxfId="97" priority="34"/>
  </conditionalFormatting>
  <conditionalFormatting sqref="B12:B13">
    <cfRule type="duplicateValues" dxfId="96" priority="38"/>
  </conditionalFormatting>
  <conditionalFormatting sqref="B14">
    <cfRule type="duplicateValues" dxfId="95" priority="41"/>
  </conditionalFormatting>
  <conditionalFormatting sqref="B18">
    <cfRule type="duplicateValues" dxfId="94" priority="25"/>
  </conditionalFormatting>
  <conditionalFormatting sqref="B27:B29">
    <cfRule type="duplicateValues" dxfId="93" priority="248"/>
  </conditionalFormatting>
  <conditionalFormatting sqref="B30">
    <cfRule type="duplicateValues" dxfId="92" priority="5"/>
  </conditionalFormatting>
  <conditionalFormatting sqref="B9:D9">
    <cfRule type="duplicateValues" dxfId="91" priority="45"/>
  </conditionalFormatting>
  <conditionalFormatting sqref="B16:D16">
    <cfRule type="duplicateValues" dxfId="90" priority="44"/>
  </conditionalFormatting>
  <conditionalFormatting sqref="B17:D17 B8:D8">
    <cfRule type="duplicateValues" dxfId="89" priority="247"/>
  </conditionalFormatting>
  <conditionalFormatting sqref="B19:D19">
    <cfRule type="duplicateValues" dxfId="88" priority="73"/>
  </conditionalFormatting>
  <conditionalFormatting sqref="B31:D31">
    <cfRule type="duplicateValues" dxfId="87" priority="13"/>
  </conditionalFormatting>
  <conditionalFormatting sqref="B32:D331">
    <cfRule type="duplicateValues" dxfId="86" priority="88"/>
  </conditionalFormatting>
  <conditionalFormatting sqref="B332:D1048576 B1:D6 B7">
    <cfRule type="duplicateValues" dxfId="85" priority="87"/>
  </conditionalFormatting>
  <conditionalFormatting sqref="C10:C11">
    <cfRule type="duplicateValues" dxfId="84" priority="32"/>
  </conditionalFormatting>
  <conditionalFormatting sqref="C12:C13">
    <cfRule type="duplicateValues" dxfId="83" priority="36"/>
  </conditionalFormatting>
  <conditionalFormatting sqref="C14">
    <cfRule type="duplicateValues" dxfId="82" priority="42"/>
  </conditionalFormatting>
  <conditionalFormatting sqref="C18">
    <cfRule type="duplicateValues" dxfId="81" priority="26"/>
  </conditionalFormatting>
  <conditionalFormatting sqref="C27:C29">
    <cfRule type="duplicateValues" dxfId="80" priority="254"/>
  </conditionalFormatting>
  <conditionalFormatting sqref="C27:C30">
    <cfRule type="duplicateValues" dxfId="79" priority="255"/>
  </conditionalFormatting>
  <conditionalFormatting sqref="C30">
    <cfRule type="duplicateValues" dxfId="78" priority="6"/>
  </conditionalFormatting>
  <conditionalFormatting sqref="C31">
    <cfRule type="duplicateValues" dxfId="77" priority="12"/>
  </conditionalFormatting>
  <conditionalFormatting sqref="C32:C1048576 C1:C8 C17 C19">
    <cfRule type="duplicateValues" dxfId="76" priority="46"/>
  </conditionalFormatting>
  <conditionalFormatting sqref="D10:D11">
    <cfRule type="duplicateValues" dxfId="75" priority="33"/>
  </conditionalFormatting>
  <conditionalFormatting sqref="D12:D13">
    <cfRule type="duplicateValues" dxfId="74" priority="37"/>
  </conditionalFormatting>
  <conditionalFormatting sqref="D14">
    <cfRule type="duplicateValues" dxfId="73" priority="43"/>
  </conditionalFormatting>
  <conditionalFormatting sqref="D18">
    <cfRule type="duplicateValues" dxfId="72" priority="27"/>
  </conditionalFormatting>
  <conditionalFormatting sqref="D27:D29">
    <cfRule type="duplicateValues" dxfId="71" priority="256"/>
  </conditionalFormatting>
  <conditionalFormatting sqref="D30">
    <cfRule type="duplicateValues" dxfId="70" priority="7"/>
  </conditionalFormatting>
  <conditionalFormatting sqref="E10:E11">
    <cfRule type="duplicateValues" dxfId="69" priority="31"/>
  </conditionalFormatting>
  <conditionalFormatting sqref="E12:E13">
    <cfRule type="duplicateValues" dxfId="68" priority="35"/>
  </conditionalFormatting>
  <conditionalFormatting sqref="E14">
    <cfRule type="duplicateValues" dxfId="67" priority="40"/>
  </conditionalFormatting>
  <conditionalFormatting sqref="B15:D15">
    <cfRule type="duplicateValues" dxfId="66" priority="1081"/>
  </conditionalFormatting>
  <conditionalFormatting sqref="B20:B26">
    <cfRule type="duplicateValues" dxfId="3" priority="1082"/>
  </conditionalFormatting>
  <conditionalFormatting sqref="C20:C26">
    <cfRule type="duplicateValues" dxfId="2" priority="1085"/>
    <cfRule type="duplicateValues" dxfId="1" priority="1086"/>
  </conditionalFormatting>
  <conditionalFormatting sqref="D20:D26">
    <cfRule type="duplicateValues" dxfId="0" priority="1090"/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CB11A-1860-45BD-8ABB-0588079DFC1B}">
  <sheetPr>
    <pageSetUpPr fitToPage="1"/>
  </sheetPr>
  <dimension ref="A1:H152"/>
  <sheetViews>
    <sheetView showGridLines="0" zoomScale="80" zoomScaleNormal="80" workbookViewId="0">
      <selection activeCell="C125" sqref="C125"/>
    </sheetView>
  </sheetViews>
  <sheetFormatPr defaultColWidth="9.140625" defaultRowHeight="18.75" x14ac:dyDescent="0.25"/>
  <cols>
    <col min="1" max="1" width="17" style="125" customWidth="1"/>
    <col min="2" max="2" width="23.140625" style="125" bestFit="1" customWidth="1"/>
    <col min="3" max="3" width="121.28515625" style="115" customWidth="1"/>
    <col min="4" max="4" width="15.85546875" style="129" bestFit="1" customWidth="1"/>
    <col min="5" max="5" width="16" style="116" customWidth="1"/>
    <col min="6" max="6" width="16.140625" style="116" customWidth="1"/>
    <col min="7" max="7" width="16.85546875" style="116" customWidth="1"/>
    <col min="8" max="8" width="16.42578125" style="116" customWidth="1"/>
    <col min="9" max="16384" width="9.140625" style="116"/>
  </cols>
  <sheetData>
    <row r="1" spans="1:8" x14ac:dyDescent="0.25">
      <c r="A1" s="132" t="s">
        <v>818</v>
      </c>
      <c r="B1" s="122"/>
      <c r="C1" s="117"/>
      <c r="E1" s="117"/>
      <c r="F1" s="117"/>
      <c r="G1" s="117"/>
      <c r="H1" s="117"/>
    </row>
    <row r="2" spans="1:8" x14ac:dyDescent="0.25">
      <c r="A2" s="133" t="s">
        <v>895</v>
      </c>
      <c r="B2" s="123"/>
      <c r="C2" s="117"/>
      <c r="D2" s="130"/>
      <c r="E2" s="117"/>
      <c r="F2" s="117"/>
      <c r="G2" s="117"/>
      <c r="H2" s="117"/>
    </row>
    <row r="3" spans="1:8" x14ac:dyDescent="0.25">
      <c r="A3" s="259" t="s">
        <v>816</v>
      </c>
      <c r="B3" s="259"/>
      <c r="C3" s="259"/>
      <c r="D3" s="259"/>
      <c r="E3" s="259"/>
      <c r="F3" s="259"/>
      <c r="G3" s="259"/>
      <c r="H3" s="134"/>
    </row>
    <row r="4" spans="1:8" x14ac:dyDescent="0.25">
      <c r="A4" s="258" t="s">
        <v>742</v>
      </c>
      <c r="B4" s="258"/>
      <c r="C4" s="258"/>
      <c r="D4" s="258"/>
      <c r="E4" s="258"/>
      <c r="F4" s="258"/>
      <c r="G4" s="258"/>
      <c r="H4" s="258"/>
    </row>
    <row r="5" spans="1:8" ht="75" x14ac:dyDescent="0.25">
      <c r="A5" s="118" t="s">
        <v>111</v>
      </c>
      <c r="B5" s="118" t="s">
        <v>3</v>
      </c>
      <c r="C5" s="119" t="s">
        <v>112</v>
      </c>
      <c r="D5" s="131" t="s">
        <v>113</v>
      </c>
      <c r="E5" s="119" t="s">
        <v>521</v>
      </c>
      <c r="F5" s="119" t="s">
        <v>522</v>
      </c>
      <c r="G5" s="119" t="s">
        <v>118</v>
      </c>
      <c r="H5" s="119" t="s">
        <v>114</v>
      </c>
    </row>
    <row r="6" spans="1:8" x14ac:dyDescent="0.25">
      <c r="A6" s="124"/>
      <c r="B6" s="124"/>
      <c r="C6" s="261"/>
      <c r="D6" s="262" t="s">
        <v>538</v>
      </c>
      <c r="E6" s="120" t="s">
        <v>523</v>
      </c>
      <c r="F6" s="120" t="s">
        <v>524</v>
      </c>
      <c r="G6" s="120" t="s">
        <v>525</v>
      </c>
      <c r="H6" s="120" t="s">
        <v>526</v>
      </c>
    </row>
    <row r="7" spans="1:8" x14ac:dyDescent="0.25">
      <c r="A7" s="107" t="s">
        <v>842</v>
      </c>
      <c r="B7" s="107">
        <v>7007592</v>
      </c>
      <c r="C7" s="138" t="s">
        <v>843</v>
      </c>
      <c r="D7" s="113">
        <v>69.989999999999995</v>
      </c>
      <c r="E7" s="108">
        <f t="shared" ref="E7" si="0">D7/3</f>
        <v>23.33</v>
      </c>
      <c r="F7" s="108">
        <f t="shared" ref="F7" si="1">D7/6</f>
        <v>11.664999999999999</v>
      </c>
      <c r="G7" s="108">
        <f t="shared" ref="G7" si="2">D7/12</f>
        <v>5.8324999999999996</v>
      </c>
      <c r="H7" s="108">
        <f t="shared" ref="H7" si="3">D7/24</f>
        <v>2.9162499999999998</v>
      </c>
    </row>
    <row r="8" spans="1:8" x14ac:dyDescent="0.25">
      <c r="A8" s="121" t="s">
        <v>844</v>
      </c>
      <c r="B8" s="121">
        <v>7007607</v>
      </c>
      <c r="C8" s="138" t="s">
        <v>845</v>
      </c>
      <c r="D8" s="113">
        <v>14.99</v>
      </c>
      <c r="E8" s="108" t="s">
        <v>95</v>
      </c>
      <c r="F8" s="108" t="s">
        <v>95</v>
      </c>
      <c r="G8" s="108" t="s">
        <v>95</v>
      </c>
      <c r="H8" s="108" t="s">
        <v>95</v>
      </c>
    </row>
    <row r="9" spans="1:8" x14ac:dyDescent="0.25">
      <c r="A9" s="107" t="s">
        <v>846</v>
      </c>
      <c r="B9" s="107">
        <v>7007608</v>
      </c>
      <c r="C9" s="138" t="s">
        <v>847</v>
      </c>
      <c r="D9" s="113">
        <v>14.99</v>
      </c>
      <c r="E9" s="108" t="s">
        <v>95</v>
      </c>
      <c r="F9" s="108" t="s">
        <v>95</v>
      </c>
      <c r="G9" s="108" t="s">
        <v>95</v>
      </c>
      <c r="H9" s="108" t="s">
        <v>95</v>
      </c>
    </row>
    <row r="10" spans="1:8" x14ac:dyDescent="0.25">
      <c r="A10" s="107" t="s">
        <v>848</v>
      </c>
      <c r="B10" s="107">
        <v>7007014</v>
      </c>
      <c r="C10" s="138" t="s">
        <v>849</v>
      </c>
      <c r="D10" s="113">
        <v>49.99</v>
      </c>
      <c r="E10" s="108">
        <f t="shared" ref="E10:E15" si="4">D10/3</f>
        <v>16.663333333333334</v>
      </c>
      <c r="F10" s="108">
        <f t="shared" ref="F10:F15" si="5">D10/6</f>
        <v>8.331666666666667</v>
      </c>
      <c r="G10" s="108">
        <f t="shared" ref="G10:G15" si="6">D10/12</f>
        <v>4.1658333333333335</v>
      </c>
      <c r="H10" s="108">
        <f t="shared" ref="H10:H15" si="7">D10/24</f>
        <v>2.0829166666666667</v>
      </c>
    </row>
    <row r="11" spans="1:8" x14ac:dyDescent="0.25">
      <c r="A11" s="107" t="s">
        <v>850</v>
      </c>
      <c r="B11" s="107">
        <v>7007076</v>
      </c>
      <c r="C11" s="138" t="s">
        <v>851</v>
      </c>
      <c r="D11" s="113">
        <v>299.99</v>
      </c>
      <c r="E11" s="108">
        <f t="shared" si="4"/>
        <v>99.99666666666667</v>
      </c>
      <c r="F11" s="108">
        <f t="shared" si="5"/>
        <v>49.998333333333335</v>
      </c>
      <c r="G11" s="108">
        <f t="shared" si="6"/>
        <v>24.999166666666667</v>
      </c>
      <c r="H11" s="108">
        <f t="shared" si="7"/>
        <v>12.499583333333334</v>
      </c>
    </row>
    <row r="12" spans="1:8" x14ac:dyDescent="0.25">
      <c r="A12" s="107" t="s">
        <v>852</v>
      </c>
      <c r="B12" s="107">
        <v>7007077</v>
      </c>
      <c r="C12" s="138" t="s">
        <v>853</v>
      </c>
      <c r="D12" s="113">
        <v>299.99</v>
      </c>
      <c r="E12" s="108">
        <f t="shared" si="4"/>
        <v>99.99666666666667</v>
      </c>
      <c r="F12" s="108">
        <f t="shared" si="5"/>
        <v>49.998333333333335</v>
      </c>
      <c r="G12" s="108">
        <f t="shared" si="6"/>
        <v>24.999166666666667</v>
      </c>
      <c r="H12" s="108">
        <f t="shared" si="7"/>
        <v>12.499583333333334</v>
      </c>
    </row>
    <row r="13" spans="1:8" x14ac:dyDescent="0.25">
      <c r="A13" s="107" t="s">
        <v>532</v>
      </c>
      <c r="B13" s="107">
        <v>7011029</v>
      </c>
      <c r="C13" s="137" t="s">
        <v>533</v>
      </c>
      <c r="D13" s="113">
        <v>14.99</v>
      </c>
      <c r="E13" s="113">
        <f t="shared" si="4"/>
        <v>4.996666666666667</v>
      </c>
      <c r="F13" s="113">
        <f t="shared" si="5"/>
        <v>2.4983333333333335</v>
      </c>
      <c r="G13" s="113">
        <f t="shared" si="6"/>
        <v>1.2491666666666668</v>
      </c>
      <c r="H13" s="113">
        <f t="shared" si="7"/>
        <v>0.62458333333333338</v>
      </c>
    </row>
    <row r="14" spans="1:8" x14ac:dyDescent="0.25">
      <c r="A14" s="107" t="s">
        <v>534</v>
      </c>
      <c r="B14" s="107">
        <v>7011030</v>
      </c>
      <c r="C14" s="137" t="s">
        <v>535</v>
      </c>
      <c r="D14" s="113">
        <v>34.99</v>
      </c>
      <c r="E14" s="113">
        <f t="shared" si="4"/>
        <v>11.663333333333334</v>
      </c>
      <c r="F14" s="113">
        <f t="shared" si="5"/>
        <v>5.831666666666667</v>
      </c>
      <c r="G14" s="113">
        <f t="shared" si="6"/>
        <v>2.9158333333333335</v>
      </c>
      <c r="H14" s="113">
        <f t="shared" si="7"/>
        <v>1.4579166666666667</v>
      </c>
    </row>
    <row r="15" spans="1:8" x14ac:dyDescent="0.25">
      <c r="A15" s="107" t="s">
        <v>536</v>
      </c>
      <c r="B15" s="107">
        <v>7011031</v>
      </c>
      <c r="C15" s="137" t="s">
        <v>537</v>
      </c>
      <c r="D15" s="113">
        <v>19.989999999999998</v>
      </c>
      <c r="E15" s="113">
        <f t="shared" si="4"/>
        <v>6.6633333333333331</v>
      </c>
      <c r="F15" s="113">
        <f t="shared" si="5"/>
        <v>3.3316666666666666</v>
      </c>
      <c r="G15" s="113">
        <f t="shared" si="6"/>
        <v>1.6658333333333333</v>
      </c>
      <c r="H15" s="113">
        <f t="shared" si="7"/>
        <v>0.83291666666666664</v>
      </c>
    </row>
    <row r="16" spans="1:8" x14ac:dyDescent="0.25">
      <c r="A16" s="107" t="s">
        <v>634</v>
      </c>
      <c r="B16" s="107">
        <v>7012718</v>
      </c>
      <c r="C16" s="136" t="s">
        <v>622</v>
      </c>
      <c r="D16" s="113">
        <v>49.99</v>
      </c>
      <c r="E16" s="113">
        <f t="shared" ref="E16:E64" si="8">D16/3</f>
        <v>16.663333333333334</v>
      </c>
      <c r="F16" s="113">
        <f t="shared" ref="F16:F64" si="9">D16/6</f>
        <v>8.331666666666667</v>
      </c>
      <c r="G16" s="113">
        <f t="shared" ref="G16:G64" si="10">D16/12</f>
        <v>4.1658333333333335</v>
      </c>
      <c r="H16" s="113">
        <f t="shared" ref="H16:H64" si="11">D16/24</f>
        <v>2.0829166666666667</v>
      </c>
    </row>
    <row r="17" spans="1:8" x14ac:dyDescent="0.25">
      <c r="A17" s="107" t="s">
        <v>635</v>
      </c>
      <c r="B17" s="107">
        <v>7012719</v>
      </c>
      <c r="C17" s="136" t="s">
        <v>623</v>
      </c>
      <c r="D17" s="113">
        <v>49.99</v>
      </c>
      <c r="E17" s="113">
        <f t="shared" si="8"/>
        <v>16.663333333333334</v>
      </c>
      <c r="F17" s="113">
        <f t="shared" si="9"/>
        <v>8.331666666666667</v>
      </c>
      <c r="G17" s="113">
        <f t="shared" si="10"/>
        <v>4.1658333333333335</v>
      </c>
      <c r="H17" s="113">
        <f t="shared" si="11"/>
        <v>2.0829166666666667</v>
      </c>
    </row>
    <row r="18" spans="1:8" x14ac:dyDescent="0.25">
      <c r="A18" s="107" t="s">
        <v>636</v>
      </c>
      <c r="B18" s="107">
        <v>7012720</v>
      </c>
      <c r="C18" s="136" t="s">
        <v>624</v>
      </c>
      <c r="D18" s="113">
        <v>49.99</v>
      </c>
      <c r="E18" s="113">
        <f t="shared" si="8"/>
        <v>16.663333333333334</v>
      </c>
      <c r="F18" s="113">
        <f t="shared" si="9"/>
        <v>8.331666666666667</v>
      </c>
      <c r="G18" s="113">
        <f t="shared" si="10"/>
        <v>4.1658333333333335</v>
      </c>
      <c r="H18" s="113">
        <f t="shared" si="11"/>
        <v>2.0829166666666667</v>
      </c>
    </row>
    <row r="19" spans="1:8" x14ac:dyDescent="0.25">
      <c r="A19" s="107" t="s">
        <v>637</v>
      </c>
      <c r="B19" s="107">
        <v>7012721</v>
      </c>
      <c r="C19" s="136" t="s">
        <v>625</v>
      </c>
      <c r="D19" s="113">
        <v>49.99</v>
      </c>
      <c r="E19" s="113">
        <f t="shared" si="8"/>
        <v>16.663333333333334</v>
      </c>
      <c r="F19" s="113">
        <f t="shared" si="9"/>
        <v>8.331666666666667</v>
      </c>
      <c r="G19" s="113">
        <f t="shared" si="10"/>
        <v>4.1658333333333335</v>
      </c>
      <c r="H19" s="113">
        <f t="shared" si="11"/>
        <v>2.0829166666666667</v>
      </c>
    </row>
    <row r="20" spans="1:8" x14ac:dyDescent="0.25">
      <c r="A20" s="107" t="s">
        <v>638</v>
      </c>
      <c r="B20" s="107">
        <v>7012723</v>
      </c>
      <c r="C20" s="136" t="s">
        <v>626</v>
      </c>
      <c r="D20" s="113">
        <v>49.99</v>
      </c>
      <c r="E20" s="113">
        <f t="shared" si="8"/>
        <v>16.663333333333334</v>
      </c>
      <c r="F20" s="113">
        <f t="shared" si="9"/>
        <v>8.331666666666667</v>
      </c>
      <c r="G20" s="113">
        <f t="shared" si="10"/>
        <v>4.1658333333333335</v>
      </c>
      <c r="H20" s="113">
        <f t="shared" si="11"/>
        <v>2.0829166666666667</v>
      </c>
    </row>
    <row r="21" spans="1:8" x14ac:dyDescent="0.25">
      <c r="A21" s="107" t="s">
        <v>639</v>
      </c>
      <c r="B21" s="107">
        <v>7012724</v>
      </c>
      <c r="C21" s="136" t="s">
        <v>627</v>
      </c>
      <c r="D21" s="113">
        <v>49.99</v>
      </c>
      <c r="E21" s="113">
        <f t="shared" si="8"/>
        <v>16.663333333333334</v>
      </c>
      <c r="F21" s="113">
        <f t="shared" si="9"/>
        <v>8.331666666666667</v>
      </c>
      <c r="G21" s="113">
        <f t="shared" si="10"/>
        <v>4.1658333333333335</v>
      </c>
      <c r="H21" s="113">
        <f t="shared" si="11"/>
        <v>2.0829166666666667</v>
      </c>
    </row>
    <row r="22" spans="1:8" x14ac:dyDescent="0.25">
      <c r="A22" s="107" t="s">
        <v>640</v>
      </c>
      <c r="B22" s="107">
        <v>7012725</v>
      </c>
      <c r="C22" s="136" t="s">
        <v>628</v>
      </c>
      <c r="D22" s="113">
        <v>49.99</v>
      </c>
      <c r="E22" s="113">
        <f t="shared" si="8"/>
        <v>16.663333333333334</v>
      </c>
      <c r="F22" s="113">
        <f t="shared" si="9"/>
        <v>8.331666666666667</v>
      </c>
      <c r="G22" s="113">
        <f t="shared" si="10"/>
        <v>4.1658333333333335</v>
      </c>
      <c r="H22" s="113">
        <f t="shared" si="11"/>
        <v>2.0829166666666667</v>
      </c>
    </row>
    <row r="23" spans="1:8" x14ac:dyDescent="0.25">
      <c r="A23" s="107" t="s">
        <v>641</v>
      </c>
      <c r="B23" s="107">
        <v>7012776</v>
      </c>
      <c r="C23" s="136" t="s">
        <v>629</v>
      </c>
      <c r="D23" s="113">
        <v>49.99</v>
      </c>
      <c r="E23" s="113">
        <f t="shared" si="8"/>
        <v>16.663333333333334</v>
      </c>
      <c r="F23" s="113">
        <f t="shared" si="9"/>
        <v>8.331666666666667</v>
      </c>
      <c r="G23" s="113">
        <f t="shared" si="10"/>
        <v>4.1658333333333335</v>
      </c>
      <c r="H23" s="113">
        <f t="shared" si="11"/>
        <v>2.0829166666666667</v>
      </c>
    </row>
    <row r="24" spans="1:8" x14ac:dyDescent="0.25">
      <c r="A24" s="107" t="s">
        <v>642</v>
      </c>
      <c r="B24" s="107">
        <v>7012777</v>
      </c>
      <c r="C24" s="136" t="s">
        <v>630</v>
      </c>
      <c r="D24" s="113">
        <v>49.99</v>
      </c>
      <c r="E24" s="113">
        <f t="shared" si="8"/>
        <v>16.663333333333334</v>
      </c>
      <c r="F24" s="113">
        <f t="shared" si="9"/>
        <v>8.331666666666667</v>
      </c>
      <c r="G24" s="113">
        <f t="shared" si="10"/>
        <v>4.1658333333333335</v>
      </c>
      <c r="H24" s="113">
        <f t="shared" si="11"/>
        <v>2.0829166666666667</v>
      </c>
    </row>
    <row r="25" spans="1:8" x14ac:dyDescent="0.25">
      <c r="A25" s="107" t="s">
        <v>643</v>
      </c>
      <c r="B25" s="107">
        <v>7012778</v>
      </c>
      <c r="C25" s="136" t="s">
        <v>631</v>
      </c>
      <c r="D25" s="113">
        <v>49.99</v>
      </c>
      <c r="E25" s="113">
        <f t="shared" si="8"/>
        <v>16.663333333333334</v>
      </c>
      <c r="F25" s="113">
        <f t="shared" si="9"/>
        <v>8.331666666666667</v>
      </c>
      <c r="G25" s="113">
        <f t="shared" si="10"/>
        <v>4.1658333333333335</v>
      </c>
      <c r="H25" s="113">
        <f t="shared" si="11"/>
        <v>2.0829166666666667</v>
      </c>
    </row>
    <row r="26" spans="1:8" x14ac:dyDescent="0.25">
      <c r="A26" s="107" t="s">
        <v>644</v>
      </c>
      <c r="B26" s="107">
        <v>7012779</v>
      </c>
      <c r="C26" s="136" t="s">
        <v>632</v>
      </c>
      <c r="D26" s="113">
        <v>49.99</v>
      </c>
      <c r="E26" s="113">
        <f t="shared" si="8"/>
        <v>16.663333333333334</v>
      </c>
      <c r="F26" s="113">
        <f t="shared" si="9"/>
        <v>8.331666666666667</v>
      </c>
      <c r="G26" s="113">
        <f t="shared" si="10"/>
        <v>4.1658333333333335</v>
      </c>
      <c r="H26" s="113">
        <f t="shared" si="11"/>
        <v>2.0829166666666667</v>
      </c>
    </row>
    <row r="27" spans="1:8" x14ac:dyDescent="0.25">
      <c r="A27" s="107" t="s">
        <v>645</v>
      </c>
      <c r="B27" s="107">
        <v>7012780</v>
      </c>
      <c r="C27" s="136" t="s">
        <v>633</v>
      </c>
      <c r="D27" s="113">
        <v>49.99</v>
      </c>
      <c r="E27" s="113">
        <f t="shared" si="8"/>
        <v>16.663333333333334</v>
      </c>
      <c r="F27" s="113">
        <f t="shared" si="9"/>
        <v>8.331666666666667</v>
      </c>
      <c r="G27" s="113">
        <f t="shared" si="10"/>
        <v>4.1658333333333335</v>
      </c>
      <c r="H27" s="113">
        <f t="shared" si="11"/>
        <v>2.0829166666666667</v>
      </c>
    </row>
    <row r="28" spans="1:8" x14ac:dyDescent="0.25">
      <c r="A28" s="140" t="s">
        <v>731</v>
      </c>
      <c r="B28" s="140">
        <v>7013121</v>
      </c>
      <c r="C28" s="136" t="s">
        <v>728</v>
      </c>
      <c r="D28" s="113">
        <v>39.99</v>
      </c>
      <c r="E28" s="113">
        <f t="shared" si="8"/>
        <v>13.33</v>
      </c>
      <c r="F28" s="113">
        <f t="shared" si="9"/>
        <v>6.665</v>
      </c>
      <c r="G28" s="113">
        <f t="shared" si="10"/>
        <v>3.3325</v>
      </c>
      <c r="H28" s="113">
        <f t="shared" si="11"/>
        <v>1.66625</v>
      </c>
    </row>
    <row r="29" spans="1:8" x14ac:dyDescent="0.25">
      <c r="A29" s="140" t="s">
        <v>732</v>
      </c>
      <c r="B29" s="140">
        <v>7013122</v>
      </c>
      <c r="C29" s="136" t="s">
        <v>729</v>
      </c>
      <c r="D29" s="113">
        <v>39.99</v>
      </c>
      <c r="E29" s="113">
        <f t="shared" si="8"/>
        <v>13.33</v>
      </c>
      <c r="F29" s="113">
        <f t="shared" si="9"/>
        <v>6.665</v>
      </c>
      <c r="G29" s="113">
        <f t="shared" si="10"/>
        <v>3.3325</v>
      </c>
      <c r="H29" s="113">
        <f t="shared" si="11"/>
        <v>1.66625</v>
      </c>
    </row>
    <row r="30" spans="1:8" x14ac:dyDescent="0.25">
      <c r="A30" s="140" t="s">
        <v>733</v>
      </c>
      <c r="B30" s="140">
        <v>7013123</v>
      </c>
      <c r="C30" s="136" t="s">
        <v>730</v>
      </c>
      <c r="D30" s="113">
        <v>39.99</v>
      </c>
      <c r="E30" s="113">
        <f t="shared" si="8"/>
        <v>13.33</v>
      </c>
      <c r="F30" s="113">
        <f t="shared" si="9"/>
        <v>6.665</v>
      </c>
      <c r="G30" s="113">
        <f t="shared" si="10"/>
        <v>3.3325</v>
      </c>
      <c r="H30" s="113">
        <f t="shared" si="11"/>
        <v>1.66625</v>
      </c>
    </row>
    <row r="31" spans="1:8" x14ac:dyDescent="0.25">
      <c r="A31" s="107" t="s">
        <v>958</v>
      </c>
      <c r="B31" s="107">
        <v>7013566</v>
      </c>
      <c r="C31" s="196" t="s">
        <v>959</v>
      </c>
      <c r="D31" s="113">
        <v>49.99</v>
      </c>
      <c r="E31" s="113">
        <f t="shared" si="8"/>
        <v>16.663333333333334</v>
      </c>
      <c r="F31" s="113">
        <f t="shared" si="9"/>
        <v>8.331666666666667</v>
      </c>
      <c r="G31" s="113">
        <f t="shared" si="10"/>
        <v>4.1658333333333335</v>
      </c>
      <c r="H31" s="113">
        <f t="shared" si="11"/>
        <v>2.0829166666666667</v>
      </c>
    </row>
    <row r="32" spans="1:8" x14ac:dyDescent="0.25">
      <c r="A32" s="107" t="s">
        <v>960</v>
      </c>
      <c r="B32" s="107">
        <v>7013567</v>
      </c>
      <c r="C32" s="196" t="s">
        <v>961</v>
      </c>
      <c r="D32" s="113">
        <v>49.99</v>
      </c>
      <c r="E32" s="113">
        <f t="shared" si="8"/>
        <v>16.663333333333334</v>
      </c>
      <c r="F32" s="113">
        <f t="shared" si="9"/>
        <v>8.331666666666667</v>
      </c>
      <c r="G32" s="113">
        <f t="shared" si="10"/>
        <v>4.1658333333333335</v>
      </c>
      <c r="H32" s="113">
        <f t="shared" si="11"/>
        <v>2.0829166666666667</v>
      </c>
    </row>
    <row r="33" spans="1:8" x14ac:dyDescent="0.25">
      <c r="A33" s="107" t="s">
        <v>962</v>
      </c>
      <c r="B33" s="107">
        <v>7013569</v>
      </c>
      <c r="C33" s="196" t="s">
        <v>963</v>
      </c>
      <c r="D33" s="113">
        <v>49.99</v>
      </c>
      <c r="E33" s="113">
        <f t="shared" si="8"/>
        <v>16.663333333333334</v>
      </c>
      <c r="F33" s="113">
        <f t="shared" si="9"/>
        <v>8.331666666666667</v>
      </c>
      <c r="G33" s="113">
        <f t="shared" si="10"/>
        <v>4.1658333333333335</v>
      </c>
      <c r="H33" s="113">
        <f t="shared" si="11"/>
        <v>2.0829166666666667</v>
      </c>
    </row>
    <row r="34" spans="1:8" x14ac:dyDescent="0.25">
      <c r="A34" s="107" t="s">
        <v>964</v>
      </c>
      <c r="B34" s="107">
        <v>7013570</v>
      </c>
      <c r="C34" s="196" t="s">
        <v>965</v>
      </c>
      <c r="D34" s="113">
        <v>49.99</v>
      </c>
      <c r="E34" s="113">
        <f t="shared" si="8"/>
        <v>16.663333333333334</v>
      </c>
      <c r="F34" s="113">
        <f t="shared" si="9"/>
        <v>8.331666666666667</v>
      </c>
      <c r="G34" s="113">
        <f t="shared" si="10"/>
        <v>4.1658333333333335</v>
      </c>
      <c r="H34" s="113">
        <f t="shared" si="11"/>
        <v>2.0829166666666667</v>
      </c>
    </row>
    <row r="35" spans="1:8" x14ac:dyDescent="0.25">
      <c r="A35" s="107" t="s">
        <v>540</v>
      </c>
      <c r="B35" s="107">
        <v>7007779</v>
      </c>
      <c r="C35" s="137" t="s">
        <v>744</v>
      </c>
      <c r="D35" s="113">
        <v>63.99</v>
      </c>
      <c r="E35" s="108">
        <f t="shared" si="8"/>
        <v>21.330000000000002</v>
      </c>
      <c r="F35" s="108">
        <f t="shared" si="9"/>
        <v>10.665000000000001</v>
      </c>
      <c r="G35" s="108">
        <f t="shared" si="10"/>
        <v>5.3325000000000005</v>
      </c>
      <c r="H35" s="108">
        <f t="shared" si="11"/>
        <v>2.6662500000000002</v>
      </c>
    </row>
    <row r="36" spans="1:8" x14ac:dyDescent="0.25">
      <c r="A36" s="107" t="s">
        <v>966</v>
      </c>
      <c r="B36" s="107">
        <v>7007877</v>
      </c>
      <c r="C36" s="138" t="s">
        <v>967</v>
      </c>
      <c r="D36" s="113">
        <v>49.99</v>
      </c>
      <c r="E36" s="108">
        <f t="shared" si="8"/>
        <v>16.663333333333334</v>
      </c>
      <c r="F36" s="108">
        <f t="shared" si="9"/>
        <v>8.331666666666667</v>
      </c>
      <c r="G36" s="108">
        <f t="shared" si="10"/>
        <v>4.1658333333333335</v>
      </c>
      <c r="H36" s="108">
        <f t="shared" si="11"/>
        <v>2.0829166666666667</v>
      </c>
    </row>
    <row r="37" spans="1:8" x14ac:dyDescent="0.25">
      <c r="A37" s="107" t="s">
        <v>968</v>
      </c>
      <c r="B37" s="107">
        <v>7007878</v>
      </c>
      <c r="C37" s="138" t="s">
        <v>969</v>
      </c>
      <c r="D37" s="113">
        <v>49.99</v>
      </c>
      <c r="E37" s="108">
        <f t="shared" si="8"/>
        <v>16.663333333333334</v>
      </c>
      <c r="F37" s="108">
        <f t="shared" si="9"/>
        <v>8.331666666666667</v>
      </c>
      <c r="G37" s="108">
        <f t="shared" si="10"/>
        <v>4.1658333333333335</v>
      </c>
      <c r="H37" s="108">
        <f t="shared" si="11"/>
        <v>2.0829166666666667</v>
      </c>
    </row>
    <row r="38" spans="1:8" x14ac:dyDescent="0.25">
      <c r="A38" s="107" t="s">
        <v>970</v>
      </c>
      <c r="B38" s="107">
        <v>7007880</v>
      </c>
      <c r="C38" s="138" t="s">
        <v>971</v>
      </c>
      <c r="D38" s="113">
        <v>49.99</v>
      </c>
      <c r="E38" s="108">
        <f t="shared" si="8"/>
        <v>16.663333333333334</v>
      </c>
      <c r="F38" s="108">
        <f t="shared" si="9"/>
        <v>8.331666666666667</v>
      </c>
      <c r="G38" s="108">
        <f t="shared" si="10"/>
        <v>4.1658333333333335</v>
      </c>
      <c r="H38" s="108">
        <f t="shared" si="11"/>
        <v>2.0829166666666667</v>
      </c>
    </row>
    <row r="39" spans="1:8" x14ac:dyDescent="0.25">
      <c r="A39" s="107" t="s">
        <v>972</v>
      </c>
      <c r="B39" s="107">
        <v>7008371</v>
      </c>
      <c r="C39" s="138" t="s">
        <v>973</v>
      </c>
      <c r="D39" s="113">
        <v>199.99</v>
      </c>
      <c r="E39" s="108">
        <f t="shared" si="8"/>
        <v>66.663333333333341</v>
      </c>
      <c r="F39" s="108">
        <f t="shared" si="9"/>
        <v>33.331666666666671</v>
      </c>
      <c r="G39" s="108">
        <f t="shared" si="10"/>
        <v>16.665833333333335</v>
      </c>
      <c r="H39" s="108">
        <f t="shared" si="11"/>
        <v>8.3329166666666676</v>
      </c>
    </row>
    <row r="40" spans="1:8" x14ac:dyDescent="0.25">
      <c r="A40" s="107" t="s">
        <v>974</v>
      </c>
      <c r="B40" s="107">
        <v>7008372</v>
      </c>
      <c r="C40" s="138" t="s">
        <v>975</v>
      </c>
      <c r="D40" s="113">
        <v>179.99</v>
      </c>
      <c r="E40" s="108">
        <f t="shared" si="8"/>
        <v>59.99666666666667</v>
      </c>
      <c r="F40" s="108">
        <f t="shared" si="9"/>
        <v>29.998333333333335</v>
      </c>
      <c r="G40" s="108">
        <f t="shared" si="10"/>
        <v>14.999166666666667</v>
      </c>
      <c r="H40" s="108">
        <f t="shared" si="11"/>
        <v>7.4995833333333337</v>
      </c>
    </row>
    <row r="41" spans="1:8" x14ac:dyDescent="0.25">
      <c r="A41" s="107" t="s">
        <v>976</v>
      </c>
      <c r="B41" s="107">
        <v>7008373</v>
      </c>
      <c r="C41" s="138" t="s">
        <v>977</v>
      </c>
      <c r="D41" s="113">
        <v>159.99</v>
      </c>
      <c r="E41" s="108">
        <f t="shared" si="8"/>
        <v>53.330000000000005</v>
      </c>
      <c r="F41" s="108">
        <f t="shared" si="9"/>
        <v>26.665000000000003</v>
      </c>
      <c r="G41" s="108">
        <f t="shared" si="10"/>
        <v>13.332500000000001</v>
      </c>
      <c r="H41" s="108">
        <f t="shared" si="11"/>
        <v>6.6662500000000007</v>
      </c>
    </row>
    <row r="42" spans="1:8" x14ac:dyDescent="0.25">
      <c r="A42" s="107" t="s">
        <v>615</v>
      </c>
      <c r="B42" s="107">
        <v>7012283</v>
      </c>
      <c r="C42" s="137" t="s">
        <v>611</v>
      </c>
      <c r="D42" s="113">
        <v>299.99</v>
      </c>
      <c r="E42" s="108">
        <f t="shared" si="8"/>
        <v>99.99666666666667</v>
      </c>
      <c r="F42" s="108">
        <f t="shared" si="9"/>
        <v>49.998333333333335</v>
      </c>
      <c r="G42" s="108">
        <f t="shared" si="10"/>
        <v>24.999166666666667</v>
      </c>
      <c r="H42" s="108">
        <f t="shared" si="11"/>
        <v>12.499583333333334</v>
      </c>
    </row>
    <row r="43" spans="1:8" x14ac:dyDescent="0.25">
      <c r="A43" s="107" t="s">
        <v>616</v>
      </c>
      <c r="B43" s="107">
        <v>7012284</v>
      </c>
      <c r="C43" s="137" t="s">
        <v>612</v>
      </c>
      <c r="D43" s="113">
        <v>349.99</v>
      </c>
      <c r="E43" s="108">
        <f t="shared" si="8"/>
        <v>116.66333333333334</v>
      </c>
      <c r="F43" s="108">
        <f t="shared" si="9"/>
        <v>58.331666666666671</v>
      </c>
      <c r="G43" s="108">
        <f t="shared" si="10"/>
        <v>29.165833333333335</v>
      </c>
      <c r="H43" s="108">
        <f t="shared" si="11"/>
        <v>14.582916666666668</v>
      </c>
    </row>
    <row r="44" spans="1:8" x14ac:dyDescent="0.25">
      <c r="A44" s="107" t="s">
        <v>560</v>
      </c>
      <c r="B44" s="107">
        <v>7010143</v>
      </c>
      <c r="C44" s="137" t="s">
        <v>613</v>
      </c>
      <c r="D44" s="113">
        <v>349.99</v>
      </c>
      <c r="E44" s="108">
        <f t="shared" si="8"/>
        <v>116.66333333333334</v>
      </c>
      <c r="F44" s="108">
        <f t="shared" si="9"/>
        <v>58.331666666666671</v>
      </c>
      <c r="G44" s="108">
        <f t="shared" si="10"/>
        <v>29.165833333333335</v>
      </c>
      <c r="H44" s="108">
        <f t="shared" si="11"/>
        <v>14.582916666666668</v>
      </c>
    </row>
    <row r="45" spans="1:8" x14ac:dyDescent="0.25">
      <c r="A45" s="107" t="s">
        <v>542</v>
      </c>
      <c r="B45" s="107">
        <v>7008380</v>
      </c>
      <c r="C45" s="137" t="s">
        <v>614</v>
      </c>
      <c r="D45" s="113">
        <v>299.99</v>
      </c>
      <c r="E45" s="108">
        <f t="shared" si="8"/>
        <v>99.99666666666667</v>
      </c>
      <c r="F45" s="108">
        <f t="shared" si="9"/>
        <v>49.998333333333335</v>
      </c>
      <c r="G45" s="108">
        <f t="shared" si="10"/>
        <v>24.999166666666667</v>
      </c>
      <c r="H45" s="108">
        <f t="shared" si="11"/>
        <v>12.499583333333334</v>
      </c>
    </row>
    <row r="46" spans="1:8" x14ac:dyDescent="0.25">
      <c r="A46" s="107" t="s">
        <v>608</v>
      </c>
      <c r="B46" s="107">
        <v>7010594</v>
      </c>
      <c r="C46" s="137" t="s">
        <v>745</v>
      </c>
      <c r="D46" s="113">
        <v>99.99</v>
      </c>
      <c r="E46" s="108">
        <f t="shared" si="8"/>
        <v>33.33</v>
      </c>
      <c r="F46" s="108">
        <f t="shared" si="9"/>
        <v>16.664999999999999</v>
      </c>
      <c r="G46" s="108">
        <f t="shared" si="10"/>
        <v>8.3324999999999996</v>
      </c>
      <c r="H46" s="108">
        <f t="shared" si="11"/>
        <v>4.1662499999999998</v>
      </c>
    </row>
    <row r="47" spans="1:8" x14ac:dyDescent="0.25">
      <c r="A47" s="107" t="s">
        <v>543</v>
      </c>
      <c r="B47" s="107">
        <v>7008374</v>
      </c>
      <c r="C47" s="137" t="s">
        <v>746</v>
      </c>
      <c r="D47" s="113">
        <v>129.99</v>
      </c>
      <c r="E47" s="108">
        <f t="shared" si="8"/>
        <v>43.330000000000005</v>
      </c>
      <c r="F47" s="108">
        <f t="shared" si="9"/>
        <v>21.665000000000003</v>
      </c>
      <c r="G47" s="108">
        <f t="shared" si="10"/>
        <v>10.832500000000001</v>
      </c>
      <c r="H47" s="108">
        <f t="shared" si="11"/>
        <v>5.4162500000000007</v>
      </c>
    </row>
    <row r="48" spans="1:8" x14ac:dyDescent="0.25">
      <c r="A48" s="140" t="s">
        <v>610</v>
      </c>
      <c r="B48" s="140">
        <v>7012285</v>
      </c>
      <c r="C48" s="137" t="s">
        <v>609</v>
      </c>
      <c r="D48" s="113">
        <v>129.99</v>
      </c>
      <c r="E48" s="108">
        <f t="shared" si="8"/>
        <v>43.330000000000005</v>
      </c>
      <c r="F48" s="108">
        <f t="shared" si="9"/>
        <v>21.665000000000003</v>
      </c>
      <c r="G48" s="108">
        <f t="shared" si="10"/>
        <v>10.832500000000001</v>
      </c>
      <c r="H48" s="108">
        <f t="shared" si="11"/>
        <v>5.4162500000000007</v>
      </c>
    </row>
    <row r="49" spans="1:8" x14ac:dyDescent="0.25">
      <c r="A49" s="107" t="s">
        <v>854</v>
      </c>
      <c r="B49" s="107">
        <v>7008486</v>
      </c>
      <c r="C49" s="138" t="s">
        <v>855</v>
      </c>
      <c r="D49" s="113">
        <v>19.989999999999998</v>
      </c>
      <c r="E49" s="108">
        <f t="shared" si="8"/>
        <v>6.6633333333333331</v>
      </c>
      <c r="F49" s="108">
        <f t="shared" si="9"/>
        <v>3.3316666666666666</v>
      </c>
      <c r="G49" s="108">
        <f t="shared" si="10"/>
        <v>1.6658333333333333</v>
      </c>
      <c r="H49" s="108">
        <f t="shared" si="11"/>
        <v>0.83291666666666664</v>
      </c>
    </row>
    <row r="50" spans="1:8" x14ac:dyDescent="0.25">
      <c r="A50" s="107" t="s">
        <v>682</v>
      </c>
      <c r="B50" s="107">
        <v>7012979</v>
      </c>
      <c r="C50" s="137" t="s">
        <v>747</v>
      </c>
      <c r="D50" s="113">
        <v>19.989999999999998</v>
      </c>
      <c r="E50" s="108">
        <f t="shared" si="8"/>
        <v>6.6633333333333331</v>
      </c>
      <c r="F50" s="108">
        <f t="shared" si="9"/>
        <v>3.3316666666666666</v>
      </c>
      <c r="G50" s="108">
        <f t="shared" si="10"/>
        <v>1.6658333333333333</v>
      </c>
      <c r="H50" s="108">
        <f t="shared" si="11"/>
        <v>0.83291666666666664</v>
      </c>
    </row>
    <row r="51" spans="1:8" x14ac:dyDescent="0.25">
      <c r="A51" s="107" t="s">
        <v>856</v>
      </c>
      <c r="B51" s="107">
        <v>7007165</v>
      </c>
      <c r="C51" s="138" t="s">
        <v>857</v>
      </c>
      <c r="D51" s="113">
        <v>59.99</v>
      </c>
      <c r="E51" s="108">
        <f t="shared" si="8"/>
        <v>19.996666666666666</v>
      </c>
      <c r="F51" s="108">
        <f t="shared" si="9"/>
        <v>9.9983333333333331</v>
      </c>
      <c r="G51" s="108">
        <f t="shared" si="10"/>
        <v>4.9991666666666665</v>
      </c>
      <c r="H51" s="108">
        <f t="shared" si="11"/>
        <v>2.4995833333333333</v>
      </c>
    </row>
    <row r="52" spans="1:8" x14ac:dyDescent="0.25">
      <c r="A52" s="107" t="s">
        <v>554</v>
      </c>
      <c r="B52" s="107">
        <v>7011734</v>
      </c>
      <c r="C52" s="136" t="s">
        <v>748</v>
      </c>
      <c r="D52" s="113">
        <v>19.989999999999998</v>
      </c>
      <c r="E52" s="113">
        <f t="shared" si="8"/>
        <v>6.6633333333333331</v>
      </c>
      <c r="F52" s="113">
        <f t="shared" si="9"/>
        <v>3.3316666666666666</v>
      </c>
      <c r="G52" s="113">
        <f t="shared" si="10"/>
        <v>1.6658333333333333</v>
      </c>
      <c r="H52" s="113">
        <f t="shared" si="11"/>
        <v>0.83291666666666664</v>
      </c>
    </row>
    <row r="53" spans="1:8" x14ac:dyDescent="0.3">
      <c r="A53" s="198" t="s">
        <v>858</v>
      </c>
      <c r="B53" s="121">
        <v>7013137</v>
      </c>
      <c r="C53" s="136" t="s">
        <v>859</v>
      </c>
      <c r="D53" s="197">
        <v>99.99</v>
      </c>
      <c r="E53" s="113">
        <f t="shared" si="8"/>
        <v>33.33</v>
      </c>
      <c r="F53" s="113">
        <f t="shared" si="9"/>
        <v>16.664999999999999</v>
      </c>
      <c r="G53" s="113">
        <f t="shared" si="10"/>
        <v>8.3324999999999996</v>
      </c>
      <c r="H53" s="113">
        <f t="shared" si="11"/>
        <v>4.1662499999999998</v>
      </c>
    </row>
    <row r="54" spans="1:8" x14ac:dyDescent="0.25">
      <c r="A54" s="107" t="s">
        <v>541</v>
      </c>
      <c r="B54" s="107">
        <v>7008278</v>
      </c>
      <c r="C54" s="137" t="s">
        <v>743</v>
      </c>
      <c r="D54" s="113">
        <v>39.99</v>
      </c>
      <c r="E54" s="108">
        <f>D54/3</f>
        <v>13.33</v>
      </c>
      <c r="F54" s="108">
        <f>D54/6</f>
        <v>6.665</v>
      </c>
      <c r="G54" s="108">
        <f>D54/12</f>
        <v>3.3325</v>
      </c>
      <c r="H54" s="108">
        <f>D54/24</f>
        <v>1.66625</v>
      </c>
    </row>
    <row r="55" spans="1:8" x14ac:dyDescent="0.25">
      <c r="A55" s="107" t="s">
        <v>527</v>
      </c>
      <c r="B55" s="107">
        <v>7007019</v>
      </c>
      <c r="C55" s="138" t="s">
        <v>749</v>
      </c>
      <c r="D55" s="113">
        <v>99.99</v>
      </c>
      <c r="E55" s="108">
        <f t="shared" si="8"/>
        <v>33.33</v>
      </c>
      <c r="F55" s="108">
        <f t="shared" si="9"/>
        <v>16.664999999999999</v>
      </c>
      <c r="G55" s="108">
        <f t="shared" si="10"/>
        <v>8.3324999999999996</v>
      </c>
      <c r="H55" s="108">
        <f t="shared" si="11"/>
        <v>4.1662499999999998</v>
      </c>
    </row>
    <row r="56" spans="1:8" x14ac:dyDescent="0.25">
      <c r="A56" s="107" t="s">
        <v>551</v>
      </c>
      <c r="B56" s="107">
        <v>7011630</v>
      </c>
      <c r="C56" s="138" t="s">
        <v>750</v>
      </c>
      <c r="D56" s="113">
        <v>249.99</v>
      </c>
      <c r="E56" s="113">
        <f t="shared" si="8"/>
        <v>83.33</v>
      </c>
      <c r="F56" s="113">
        <f t="shared" si="9"/>
        <v>41.664999999999999</v>
      </c>
      <c r="G56" s="113">
        <f t="shared" si="10"/>
        <v>20.8325</v>
      </c>
      <c r="H56" s="113">
        <f t="shared" si="11"/>
        <v>10.41625</v>
      </c>
    </row>
    <row r="57" spans="1:8" x14ac:dyDescent="0.25">
      <c r="A57" s="107" t="s">
        <v>528</v>
      </c>
      <c r="B57" s="107">
        <v>7009429</v>
      </c>
      <c r="C57" s="138" t="s">
        <v>751</v>
      </c>
      <c r="D57" s="113">
        <v>189.99</v>
      </c>
      <c r="E57" s="108">
        <f t="shared" si="8"/>
        <v>63.330000000000005</v>
      </c>
      <c r="F57" s="108">
        <f t="shared" si="9"/>
        <v>31.665000000000003</v>
      </c>
      <c r="G57" s="108">
        <f t="shared" si="10"/>
        <v>15.832500000000001</v>
      </c>
      <c r="H57" s="108">
        <f t="shared" si="11"/>
        <v>7.9162500000000007</v>
      </c>
    </row>
    <row r="58" spans="1:8" x14ac:dyDescent="0.25">
      <c r="A58" s="107" t="s">
        <v>978</v>
      </c>
      <c r="B58" s="107">
        <v>7013469</v>
      </c>
      <c r="C58" s="196" t="s">
        <v>979</v>
      </c>
      <c r="D58" s="113">
        <v>249.99</v>
      </c>
      <c r="E58" s="113">
        <f>D58/3</f>
        <v>83.33</v>
      </c>
      <c r="F58" s="113">
        <f>D58/6</f>
        <v>41.664999999999999</v>
      </c>
      <c r="G58" s="113">
        <f>D58/12</f>
        <v>20.8325</v>
      </c>
      <c r="H58" s="113">
        <f>D58/24</f>
        <v>10.41625</v>
      </c>
    </row>
    <row r="59" spans="1:8" x14ac:dyDescent="0.25">
      <c r="A59" s="107" t="s">
        <v>601</v>
      </c>
      <c r="B59" s="107">
        <v>7012574</v>
      </c>
      <c r="C59" s="136" t="s">
        <v>600</v>
      </c>
      <c r="D59" s="113">
        <v>139.99</v>
      </c>
      <c r="E59" s="113">
        <f t="shared" si="8"/>
        <v>46.663333333333334</v>
      </c>
      <c r="F59" s="113">
        <f t="shared" si="9"/>
        <v>23.331666666666667</v>
      </c>
      <c r="G59" s="113">
        <f t="shared" si="10"/>
        <v>11.665833333333333</v>
      </c>
      <c r="H59" s="113">
        <f t="shared" si="11"/>
        <v>5.8329166666666667</v>
      </c>
    </row>
    <row r="60" spans="1:8" x14ac:dyDescent="0.25">
      <c r="A60" s="107" t="s">
        <v>602</v>
      </c>
      <c r="B60" s="107">
        <v>7012697</v>
      </c>
      <c r="C60" s="136" t="s">
        <v>752</v>
      </c>
      <c r="D60" s="113">
        <v>199.99</v>
      </c>
      <c r="E60" s="113">
        <f t="shared" si="8"/>
        <v>66.663333333333341</v>
      </c>
      <c r="F60" s="113">
        <f t="shared" si="9"/>
        <v>33.331666666666671</v>
      </c>
      <c r="G60" s="113">
        <f t="shared" si="10"/>
        <v>16.665833333333335</v>
      </c>
      <c r="H60" s="113">
        <f t="shared" si="11"/>
        <v>8.3329166666666676</v>
      </c>
    </row>
    <row r="61" spans="1:8" x14ac:dyDescent="0.25">
      <c r="A61" s="107" t="s">
        <v>603</v>
      </c>
      <c r="B61" s="107">
        <v>7012596</v>
      </c>
      <c r="C61" s="136" t="s">
        <v>753</v>
      </c>
      <c r="D61" s="113">
        <v>269.99</v>
      </c>
      <c r="E61" s="113">
        <f t="shared" si="8"/>
        <v>89.99666666666667</v>
      </c>
      <c r="F61" s="113">
        <f t="shared" si="9"/>
        <v>44.998333333333335</v>
      </c>
      <c r="G61" s="113">
        <f t="shared" si="10"/>
        <v>22.499166666666667</v>
      </c>
      <c r="H61" s="113">
        <f t="shared" si="11"/>
        <v>11.249583333333334</v>
      </c>
    </row>
    <row r="62" spans="1:8" x14ac:dyDescent="0.25">
      <c r="A62" s="107" t="s">
        <v>606</v>
      </c>
      <c r="B62" s="107">
        <v>7012698</v>
      </c>
      <c r="C62" s="136" t="s">
        <v>604</v>
      </c>
      <c r="D62" s="113">
        <v>569.99</v>
      </c>
      <c r="E62" s="113">
        <f t="shared" si="8"/>
        <v>189.99666666666667</v>
      </c>
      <c r="F62" s="113">
        <f t="shared" si="9"/>
        <v>94.998333333333335</v>
      </c>
      <c r="G62" s="113">
        <f t="shared" si="10"/>
        <v>47.499166666666667</v>
      </c>
      <c r="H62" s="113">
        <f t="shared" si="11"/>
        <v>23.749583333333334</v>
      </c>
    </row>
    <row r="63" spans="1:8" x14ac:dyDescent="0.25">
      <c r="A63" s="107" t="s">
        <v>607</v>
      </c>
      <c r="B63" s="107">
        <v>7012699</v>
      </c>
      <c r="C63" s="136" t="s">
        <v>605</v>
      </c>
      <c r="D63" s="113">
        <v>569.99</v>
      </c>
      <c r="E63" s="113">
        <f t="shared" si="8"/>
        <v>189.99666666666667</v>
      </c>
      <c r="F63" s="113">
        <f t="shared" si="9"/>
        <v>94.998333333333335</v>
      </c>
      <c r="G63" s="113">
        <f t="shared" si="10"/>
        <v>47.499166666666667</v>
      </c>
      <c r="H63" s="113">
        <f t="shared" si="11"/>
        <v>23.749583333333334</v>
      </c>
    </row>
    <row r="64" spans="1:8" x14ac:dyDescent="0.25">
      <c r="A64" s="107" t="s">
        <v>680</v>
      </c>
      <c r="B64" s="107">
        <v>7012888</v>
      </c>
      <c r="C64" s="136" t="s">
        <v>754</v>
      </c>
      <c r="D64" s="113">
        <v>569.99</v>
      </c>
      <c r="E64" s="113">
        <f t="shared" si="8"/>
        <v>189.99666666666667</v>
      </c>
      <c r="F64" s="113">
        <f t="shared" si="9"/>
        <v>94.998333333333335</v>
      </c>
      <c r="G64" s="113">
        <f t="shared" si="10"/>
        <v>47.499166666666667</v>
      </c>
      <c r="H64" s="113">
        <f t="shared" si="11"/>
        <v>23.749583333333334</v>
      </c>
    </row>
    <row r="65" spans="1:8" x14ac:dyDescent="0.25">
      <c r="A65" s="107" t="s">
        <v>722</v>
      </c>
      <c r="B65" s="107">
        <v>7012950</v>
      </c>
      <c r="C65" s="136" t="s">
        <v>725</v>
      </c>
      <c r="D65" s="113">
        <v>79.989999999999995</v>
      </c>
      <c r="E65" s="113">
        <f>D65/3</f>
        <v>26.66333333333333</v>
      </c>
      <c r="F65" s="113">
        <f>D65/6</f>
        <v>13.331666666666665</v>
      </c>
      <c r="G65" s="113">
        <f>D65/12</f>
        <v>6.6658333333333326</v>
      </c>
      <c r="H65" s="113">
        <f>D65/24</f>
        <v>3.3329166666666663</v>
      </c>
    </row>
    <row r="66" spans="1:8" x14ac:dyDescent="0.25">
      <c r="A66" s="107" t="s">
        <v>723</v>
      </c>
      <c r="B66" s="107">
        <v>7012951</v>
      </c>
      <c r="C66" s="136" t="s">
        <v>726</v>
      </c>
      <c r="D66" s="113">
        <v>79.989999999999995</v>
      </c>
      <c r="E66" s="113">
        <f>D66/3</f>
        <v>26.66333333333333</v>
      </c>
      <c r="F66" s="113">
        <f>D66/6</f>
        <v>13.331666666666665</v>
      </c>
      <c r="G66" s="113">
        <f>D66/12</f>
        <v>6.6658333333333326</v>
      </c>
      <c r="H66" s="113">
        <f>D66/24</f>
        <v>3.3329166666666663</v>
      </c>
    </row>
    <row r="67" spans="1:8" x14ac:dyDescent="0.25">
      <c r="A67" s="107" t="s">
        <v>724</v>
      </c>
      <c r="B67" s="107">
        <v>7012952</v>
      </c>
      <c r="C67" s="136" t="s">
        <v>727</v>
      </c>
      <c r="D67" s="113">
        <v>79.989999999999995</v>
      </c>
      <c r="E67" s="113">
        <f>D67/3</f>
        <v>26.66333333333333</v>
      </c>
      <c r="F67" s="113">
        <f>D67/6</f>
        <v>13.331666666666665</v>
      </c>
      <c r="G67" s="113">
        <f>D67/12</f>
        <v>6.6658333333333326</v>
      </c>
      <c r="H67" s="113">
        <f>D67/24</f>
        <v>3.3329166666666663</v>
      </c>
    </row>
    <row r="68" spans="1:8" x14ac:dyDescent="0.25">
      <c r="A68" s="107" t="s">
        <v>556</v>
      </c>
      <c r="B68" s="107">
        <v>7011814</v>
      </c>
      <c r="C68" s="136" t="s">
        <v>755</v>
      </c>
      <c r="D68" s="113">
        <v>19.989999999999998</v>
      </c>
      <c r="E68" s="113">
        <f t="shared" ref="E68:E82" si="12">D68/3</f>
        <v>6.6633333333333331</v>
      </c>
      <c r="F68" s="113">
        <f t="shared" ref="F68:F82" si="13">D68/6</f>
        <v>3.3316666666666666</v>
      </c>
      <c r="G68" s="113">
        <f t="shared" ref="G68:G82" si="14">D68/12</f>
        <v>1.6658333333333333</v>
      </c>
      <c r="H68" s="113">
        <f t="shared" ref="H68:H82" si="15">D68/24</f>
        <v>0.83291666666666664</v>
      </c>
    </row>
    <row r="69" spans="1:8" x14ac:dyDescent="0.25">
      <c r="A69" s="107" t="s">
        <v>529</v>
      </c>
      <c r="B69" s="107">
        <v>7010496</v>
      </c>
      <c r="C69" s="138" t="s">
        <v>756</v>
      </c>
      <c r="D69" s="113">
        <v>799.99</v>
      </c>
      <c r="E69" s="108">
        <f t="shared" si="12"/>
        <v>266.66333333333336</v>
      </c>
      <c r="F69" s="108">
        <f t="shared" si="13"/>
        <v>133.33166666666668</v>
      </c>
      <c r="G69" s="108">
        <f t="shared" si="14"/>
        <v>66.665833333333339</v>
      </c>
      <c r="H69" s="108">
        <f t="shared" si="15"/>
        <v>33.332916666666669</v>
      </c>
    </row>
    <row r="70" spans="1:8" ht="37.5" x14ac:dyDescent="0.25">
      <c r="A70" s="107" t="s">
        <v>550</v>
      </c>
      <c r="B70" s="107">
        <v>7011647</v>
      </c>
      <c r="C70" s="139" t="s">
        <v>757</v>
      </c>
      <c r="D70" s="113">
        <v>299.99</v>
      </c>
      <c r="E70" s="113">
        <f t="shared" si="12"/>
        <v>99.99666666666667</v>
      </c>
      <c r="F70" s="113">
        <f t="shared" si="13"/>
        <v>49.998333333333335</v>
      </c>
      <c r="G70" s="113">
        <f t="shared" si="14"/>
        <v>24.999166666666667</v>
      </c>
      <c r="H70" s="113">
        <f t="shared" si="15"/>
        <v>12.499583333333334</v>
      </c>
    </row>
    <row r="71" spans="1:8" x14ac:dyDescent="0.25">
      <c r="A71" s="107" t="s">
        <v>555</v>
      </c>
      <c r="B71" s="107">
        <v>7012149</v>
      </c>
      <c r="C71" s="139" t="s">
        <v>758</v>
      </c>
      <c r="D71" s="113">
        <v>799.99</v>
      </c>
      <c r="E71" s="113">
        <f t="shared" si="12"/>
        <v>266.66333333333336</v>
      </c>
      <c r="F71" s="113">
        <f t="shared" si="13"/>
        <v>133.33166666666668</v>
      </c>
      <c r="G71" s="113">
        <f t="shared" si="14"/>
        <v>66.665833333333339</v>
      </c>
      <c r="H71" s="113">
        <f t="shared" si="15"/>
        <v>33.332916666666669</v>
      </c>
    </row>
    <row r="72" spans="1:8" x14ac:dyDescent="0.25">
      <c r="A72" s="107" t="s">
        <v>619</v>
      </c>
      <c r="B72" s="107">
        <v>7012700</v>
      </c>
      <c r="C72" s="136" t="s">
        <v>617</v>
      </c>
      <c r="D72" s="113">
        <v>429.99</v>
      </c>
      <c r="E72" s="113">
        <f t="shared" si="12"/>
        <v>143.33000000000001</v>
      </c>
      <c r="F72" s="113">
        <f t="shared" si="13"/>
        <v>71.665000000000006</v>
      </c>
      <c r="G72" s="113">
        <f t="shared" si="14"/>
        <v>35.832500000000003</v>
      </c>
      <c r="H72" s="113">
        <f t="shared" si="15"/>
        <v>17.916250000000002</v>
      </c>
    </row>
    <row r="73" spans="1:8" ht="37.5" x14ac:dyDescent="0.25">
      <c r="A73" s="107" t="s">
        <v>620</v>
      </c>
      <c r="B73" s="107">
        <v>7012702</v>
      </c>
      <c r="C73" s="136" t="s">
        <v>618</v>
      </c>
      <c r="D73" s="113">
        <v>429.99</v>
      </c>
      <c r="E73" s="113">
        <f t="shared" si="12"/>
        <v>143.33000000000001</v>
      </c>
      <c r="F73" s="113">
        <f t="shared" si="13"/>
        <v>71.665000000000006</v>
      </c>
      <c r="G73" s="113">
        <f t="shared" si="14"/>
        <v>35.832500000000003</v>
      </c>
      <c r="H73" s="113">
        <f t="shared" si="15"/>
        <v>17.916250000000002</v>
      </c>
    </row>
    <row r="74" spans="1:8" ht="37.5" x14ac:dyDescent="0.25">
      <c r="A74" s="107" t="s">
        <v>621</v>
      </c>
      <c r="B74" s="107">
        <v>7012693</v>
      </c>
      <c r="C74" s="139" t="s">
        <v>759</v>
      </c>
      <c r="D74" s="113">
        <v>919.99</v>
      </c>
      <c r="E74" s="113">
        <f t="shared" si="12"/>
        <v>306.66333333333336</v>
      </c>
      <c r="F74" s="113">
        <f t="shared" si="13"/>
        <v>153.33166666666668</v>
      </c>
      <c r="G74" s="113">
        <f t="shared" si="14"/>
        <v>76.665833333333339</v>
      </c>
      <c r="H74" s="113">
        <f t="shared" si="15"/>
        <v>38.332916666666669</v>
      </c>
    </row>
    <row r="75" spans="1:8" x14ac:dyDescent="0.25">
      <c r="A75" s="107" t="s">
        <v>681</v>
      </c>
      <c r="B75" s="107">
        <v>7012825</v>
      </c>
      <c r="C75" s="136" t="s">
        <v>760</v>
      </c>
      <c r="D75" s="113">
        <v>299.99</v>
      </c>
      <c r="E75" s="113">
        <f t="shared" si="12"/>
        <v>99.99666666666667</v>
      </c>
      <c r="F75" s="113">
        <f t="shared" si="13"/>
        <v>49.998333333333335</v>
      </c>
      <c r="G75" s="113">
        <f t="shared" si="14"/>
        <v>24.999166666666667</v>
      </c>
      <c r="H75" s="113">
        <f t="shared" si="15"/>
        <v>12.499583333333334</v>
      </c>
    </row>
    <row r="76" spans="1:8" x14ac:dyDescent="0.25">
      <c r="A76" s="107" t="s">
        <v>980</v>
      </c>
      <c r="B76" s="107">
        <v>7013571</v>
      </c>
      <c r="C76" s="196" t="s">
        <v>981</v>
      </c>
      <c r="D76" s="113">
        <v>429.99</v>
      </c>
      <c r="E76" s="113">
        <f>D76/3</f>
        <v>143.33000000000001</v>
      </c>
      <c r="F76" s="113">
        <f>D76/6</f>
        <v>71.665000000000006</v>
      </c>
      <c r="G76" s="113">
        <f>D76/12</f>
        <v>35.832500000000003</v>
      </c>
      <c r="H76" s="113">
        <f>D76/24</f>
        <v>17.916250000000002</v>
      </c>
    </row>
    <row r="77" spans="1:8" x14ac:dyDescent="0.25">
      <c r="A77" s="107" t="s">
        <v>982</v>
      </c>
      <c r="B77" s="107">
        <v>7013573</v>
      </c>
      <c r="C77" s="196" t="s">
        <v>983</v>
      </c>
      <c r="D77" s="113">
        <v>429.99</v>
      </c>
      <c r="E77" s="113">
        <f>D77/3</f>
        <v>143.33000000000001</v>
      </c>
      <c r="F77" s="113">
        <f>D77/6</f>
        <v>71.665000000000006</v>
      </c>
      <c r="G77" s="113">
        <f>D77/12</f>
        <v>35.832500000000003</v>
      </c>
      <c r="H77" s="113">
        <f>D77/24</f>
        <v>17.916250000000002</v>
      </c>
    </row>
    <row r="78" spans="1:8" x14ac:dyDescent="0.25">
      <c r="A78" s="107" t="s">
        <v>984</v>
      </c>
      <c r="B78" s="107">
        <v>7013586</v>
      </c>
      <c r="C78" s="196" t="s">
        <v>985</v>
      </c>
      <c r="D78" s="113">
        <v>799.99</v>
      </c>
      <c r="E78" s="113">
        <f>D78/3</f>
        <v>266.66333333333336</v>
      </c>
      <c r="F78" s="113">
        <f>D78/6</f>
        <v>133.33166666666668</v>
      </c>
      <c r="G78" s="113">
        <f>D78/12</f>
        <v>66.665833333333339</v>
      </c>
      <c r="H78" s="113">
        <f>D78/24</f>
        <v>33.332916666666669</v>
      </c>
    </row>
    <row r="79" spans="1:8" x14ac:dyDescent="0.25">
      <c r="A79" s="107" t="s">
        <v>986</v>
      </c>
      <c r="B79" s="107">
        <v>7013560</v>
      </c>
      <c r="C79" s="196" t="s">
        <v>987</v>
      </c>
      <c r="D79" s="113">
        <v>799.99</v>
      </c>
      <c r="E79" s="113">
        <f>D79/3</f>
        <v>266.66333333333336</v>
      </c>
      <c r="F79" s="113">
        <f>D79/6</f>
        <v>133.33166666666668</v>
      </c>
      <c r="G79" s="113">
        <f>D79/12</f>
        <v>66.665833333333339</v>
      </c>
      <c r="H79" s="113">
        <f>D79/24</f>
        <v>33.332916666666669</v>
      </c>
    </row>
    <row r="80" spans="1:8" x14ac:dyDescent="0.25">
      <c r="A80" s="107" t="s">
        <v>557</v>
      </c>
      <c r="B80" s="107">
        <v>7011815</v>
      </c>
      <c r="C80" s="136" t="s">
        <v>761</v>
      </c>
      <c r="D80" s="113">
        <v>59.99</v>
      </c>
      <c r="E80" s="113">
        <f t="shared" si="12"/>
        <v>19.996666666666666</v>
      </c>
      <c r="F80" s="113">
        <f t="shared" si="13"/>
        <v>9.9983333333333331</v>
      </c>
      <c r="G80" s="113">
        <f t="shared" si="14"/>
        <v>4.9991666666666665</v>
      </c>
      <c r="H80" s="113">
        <f t="shared" si="15"/>
        <v>2.4995833333333333</v>
      </c>
    </row>
    <row r="81" spans="1:8" x14ac:dyDescent="0.25">
      <c r="A81" s="107" t="s">
        <v>558</v>
      </c>
      <c r="B81" s="107">
        <v>7011876</v>
      </c>
      <c r="C81" s="136" t="s">
        <v>762</v>
      </c>
      <c r="D81" s="113">
        <v>59.99</v>
      </c>
      <c r="E81" s="113">
        <f t="shared" si="12"/>
        <v>19.996666666666666</v>
      </c>
      <c r="F81" s="113">
        <f t="shared" si="13"/>
        <v>9.9983333333333331</v>
      </c>
      <c r="G81" s="113">
        <f t="shared" si="14"/>
        <v>4.9991666666666665</v>
      </c>
      <c r="H81" s="113">
        <f t="shared" si="15"/>
        <v>2.4995833333333333</v>
      </c>
    </row>
    <row r="82" spans="1:8" x14ac:dyDescent="0.25">
      <c r="A82" s="107" t="s">
        <v>559</v>
      </c>
      <c r="B82" s="107">
        <v>7010691</v>
      </c>
      <c r="C82" s="136" t="s">
        <v>763</v>
      </c>
      <c r="D82" s="113">
        <v>59.99</v>
      </c>
      <c r="E82" s="113">
        <f t="shared" si="12"/>
        <v>19.996666666666666</v>
      </c>
      <c r="F82" s="113">
        <f t="shared" si="13"/>
        <v>9.9983333333333331</v>
      </c>
      <c r="G82" s="113">
        <f t="shared" si="14"/>
        <v>4.9991666666666665</v>
      </c>
      <c r="H82" s="113">
        <f t="shared" si="15"/>
        <v>2.4995833333333333</v>
      </c>
    </row>
    <row r="83" spans="1:8" x14ac:dyDescent="0.25">
      <c r="A83" s="109" t="s">
        <v>544</v>
      </c>
      <c r="B83" s="109">
        <v>7008910</v>
      </c>
      <c r="C83" s="137" t="s">
        <v>545</v>
      </c>
      <c r="D83" s="113">
        <v>29.99</v>
      </c>
      <c r="E83" s="108">
        <f>D83/3</f>
        <v>9.9966666666666661</v>
      </c>
      <c r="F83" s="108">
        <f>D83/6</f>
        <v>4.9983333333333331</v>
      </c>
      <c r="G83" s="108">
        <f>D83/12</f>
        <v>2.4991666666666665</v>
      </c>
      <c r="H83" s="108">
        <f>D83/24</f>
        <v>1.2495833333333333</v>
      </c>
    </row>
    <row r="84" spans="1:8" x14ac:dyDescent="0.25">
      <c r="A84" s="107" t="s">
        <v>587</v>
      </c>
      <c r="B84" s="107">
        <v>7012392</v>
      </c>
      <c r="C84" s="135" t="s">
        <v>764</v>
      </c>
      <c r="D84" s="113">
        <v>29.99</v>
      </c>
      <c r="E84" s="113">
        <f t="shared" ref="E84" si="16">D84/3</f>
        <v>9.9966666666666661</v>
      </c>
      <c r="F84" s="113">
        <f t="shared" ref="F84" si="17">D84/6</f>
        <v>4.9983333333333331</v>
      </c>
      <c r="G84" s="113">
        <f t="shared" ref="G84" si="18">D84/12</f>
        <v>2.4991666666666665</v>
      </c>
      <c r="H84" s="113">
        <f t="shared" ref="H84" si="19">D84/24</f>
        <v>1.2495833333333333</v>
      </c>
    </row>
    <row r="85" spans="1:8" x14ac:dyDescent="0.25">
      <c r="A85" s="109" t="s">
        <v>546</v>
      </c>
      <c r="B85" s="109">
        <v>7008911</v>
      </c>
      <c r="C85" s="137" t="s">
        <v>547</v>
      </c>
      <c r="D85" s="113">
        <v>99.99</v>
      </c>
      <c r="E85" s="108">
        <f>D85/3</f>
        <v>33.33</v>
      </c>
      <c r="F85" s="108">
        <f>D85/6</f>
        <v>16.664999999999999</v>
      </c>
      <c r="G85" s="108">
        <f>D85/12</f>
        <v>8.3324999999999996</v>
      </c>
      <c r="H85" s="108">
        <f>D85/24</f>
        <v>4.1662499999999998</v>
      </c>
    </row>
    <row r="86" spans="1:8" x14ac:dyDescent="0.25">
      <c r="A86" s="109" t="s">
        <v>548</v>
      </c>
      <c r="B86" s="109">
        <v>7008912</v>
      </c>
      <c r="C86" s="137" t="s">
        <v>765</v>
      </c>
      <c r="D86" s="113">
        <v>29.99</v>
      </c>
      <c r="E86" s="108">
        <f>D86/3</f>
        <v>9.9966666666666661</v>
      </c>
      <c r="F86" s="108">
        <f>D86/6</f>
        <v>4.9983333333333331</v>
      </c>
      <c r="G86" s="108">
        <f>D86/12</f>
        <v>2.4991666666666665</v>
      </c>
      <c r="H86" s="108">
        <f>D86/24</f>
        <v>1.2495833333333333</v>
      </c>
    </row>
    <row r="87" spans="1:8" x14ac:dyDescent="0.25">
      <c r="A87" s="109" t="s">
        <v>549</v>
      </c>
      <c r="B87" s="109">
        <v>7008913</v>
      </c>
      <c r="C87" s="137" t="s">
        <v>766</v>
      </c>
      <c r="D87" s="113">
        <v>29.99</v>
      </c>
      <c r="E87" s="108">
        <f>D87/3</f>
        <v>9.9966666666666661</v>
      </c>
      <c r="F87" s="108">
        <f>D87/6</f>
        <v>4.9983333333333331</v>
      </c>
      <c r="G87" s="108">
        <f>D87/12</f>
        <v>2.4991666666666665</v>
      </c>
      <c r="H87" s="108">
        <f>D87/24</f>
        <v>1.2495833333333333</v>
      </c>
    </row>
    <row r="88" spans="1:8" x14ac:dyDescent="0.25">
      <c r="A88" s="107" t="s">
        <v>860</v>
      </c>
      <c r="B88" s="107">
        <v>7007153</v>
      </c>
      <c r="C88" s="138" t="s">
        <v>861</v>
      </c>
      <c r="D88" s="113">
        <v>19.989999999999998</v>
      </c>
      <c r="E88" s="108">
        <f t="shared" ref="E88:E89" si="20">D88/3</f>
        <v>6.6633333333333331</v>
      </c>
      <c r="F88" s="108">
        <f t="shared" ref="F88:F89" si="21">D88/6</f>
        <v>3.3316666666666666</v>
      </c>
      <c r="G88" s="108">
        <f t="shared" ref="G88:G89" si="22">D88/12</f>
        <v>1.6658333333333333</v>
      </c>
      <c r="H88" s="108">
        <f t="shared" ref="H88:H89" si="23">D88/24</f>
        <v>0.83291666666666664</v>
      </c>
    </row>
    <row r="89" spans="1:8" x14ac:dyDescent="0.25">
      <c r="A89" s="107" t="s">
        <v>862</v>
      </c>
      <c r="B89" s="107">
        <v>7007154</v>
      </c>
      <c r="C89" s="138" t="s">
        <v>863</v>
      </c>
      <c r="D89" s="113">
        <v>19.989999999999998</v>
      </c>
      <c r="E89" s="108">
        <f t="shared" si="20"/>
        <v>6.6633333333333331</v>
      </c>
      <c r="F89" s="108">
        <f t="shared" si="21"/>
        <v>3.3316666666666666</v>
      </c>
      <c r="G89" s="108">
        <f t="shared" si="22"/>
        <v>1.6658333333333333</v>
      </c>
      <c r="H89" s="108">
        <f t="shared" si="23"/>
        <v>0.83291666666666664</v>
      </c>
    </row>
    <row r="90" spans="1:8" x14ac:dyDescent="0.25">
      <c r="A90" s="107" t="s">
        <v>864</v>
      </c>
      <c r="B90" s="107">
        <v>7010863</v>
      </c>
      <c r="C90" s="138" t="s">
        <v>865</v>
      </c>
      <c r="D90" s="113">
        <v>39.99</v>
      </c>
      <c r="E90" s="108">
        <f>D90/3</f>
        <v>13.33</v>
      </c>
      <c r="F90" s="108">
        <f>D90/6</f>
        <v>6.665</v>
      </c>
      <c r="G90" s="108">
        <f>D90/12</f>
        <v>3.3325</v>
      </c>
      <c r="H90" s="108">
        <f>D90/24</f>
        <v>1.66625</v>
      </c>
    </row>
    <row r="91" spans="1:8" x14ac:dyDescent="0.25">
      <c r="A91" s="107" t="s">
        <v>866</v>
      </c>
      <c r="B91" s="107">
        <v>7011004</v>
      </c>
      <c r="C91" s="138" t="s">
        <v>867</v>
      </c>
      <c r="D91" s="113">
        <v>59.99</v>
      </c>
      <c r="E91" s="113">
        <f t="shared" ref="E91:E111" si="24">D91/3</f>
        <v>19.996666666666666</v>
      </c>
      <c r="F91" s="113">
        <f t="shared" ref="F91:F111" si="25">D91/6</f>
        <v>9.9983333333333331</v>
      </c>
      <c r="G91" s="113">
        <f t="shared" ref="G91:G111" si="26">D91/12</f>
        <v>4.9991666666666665</v>
      </c>
      <c r="H91" s="113">
        <f t="shared" ref="H91:H111" si="27">D91/24</f>
        <v>2.4995833333333333</v>
      </c>
    </row>
    <row r="92" spans="1:8" x14ac:dyDescent="0.25">
      <c r="A92" s="107" t="s">
        <v>868</v>
      </c>
      <c r="B92" s="107">
        <v>7010860</v>
      </c>
      <c r="C92" s="138" t="s">
        <v>869</v>
      </c>
      <c r="D92" s="113">
        <v>99.99</v>
      </c>
      <c r="E92" s="108">
        <f t="shared" si="24"/>
        <v>33.33</v>
      </c>
      <c r="F92" s="108">
        <f t="shared" si="25"/>
        <v>16.664999999999999</v>
      </c>
      <c r="G92" s="108">
        <f t="shared" si="26"/>
        <v>8.3324999999999996</v>
      </c>
      <c r="H92" s="108">
        <f t="shared" si="27"/>
        <v>4.1662499999999998</v>
      </c>
    </row>
    <row r="93" spans="1:8" x14ac:dyDescent="0.25">
      <c r="A93" s="107" t="s">
        <v>870</v>
      </c>
      <c r="B93" s="107">
        <v>7010861</v>
      </c>
      <c r="C93" s="138" t="s">
        <v>869</v>
      </c>
      <c r="D93" s="113">
        <v>99.99</v>
      </c>
      <c r="E93" s="108">
        <f t="shared" si="24"/>
        <v>33.33</v>
      </c>
      <c r="F93" s="108">
        <f t="shared" si="25"/>
        <v>16.664999999999999</v>
      </c>
      <c r="G93" s="108">
        <f t="shared" si="26"/>
        <v>8.3324999999999996</v>
      </c>
      <c r="H93" s="108">
        <f t="shared" si="27"/>
        <v>4.1662499999999998</v>
      </c>
    </row>
    <row r="94" spans="1:8" x14ac:dyDescent="0.25">
      <c r="A94" s="107" t="s">
        <v>871</v>
      </c>
      <c r="B94" s="107">
        <v>7010862</v>
      </c>
      <c r="C94" s="138" t="s">
        <v>872</v>
      </c>
      <c r="D94" s="113">
        <v>99.99</v>
      </c>
      <c r="E94" s="108">
        <f t="shared" si="24"/>
        <v>33.33</v>
      </c>
      <c r="F94" s="108">
        <f t="shared" si="25"/>
        <v>16.664999999999999</v>
      </c>
      <c r="G94" s="108">
        <f t="shared" si="26"/>
        <v>8.3324999999999996</v>
      </c>
      <c r="H94" s="108">
        <f t="shared" si="27"/>
        <v>4.1662499999999998</v>
      </c>
    </row>
    <row r="95" spans="1:8" x14ac:dyDescent="0.25">
      <c r="A95" s="107" t="s">
        <v>579</v>
      </c>
      <c r="B95" s="107">
        <v>7012352</v>
      </c>
      <c r="C95" s="135" t="s">
        <v>573</v>
      </c>
      <c r="D95" s="113">
        <v>59.99</v>
      </c>
      <c r="E95" s="113">
        <f>D95/3</f>
        <v>19.996666666666666</v>
      </c>
      <c r="F95" s="113">
        <f>D95/6</f>
        <v>9.9983333333333331</v>
      </c>
      <c r="G95" s="113">
        <f>D95/12</f>
        <v>4.9991666666666665</v>
      </c>
      <c r="H95" s="113">
        <f>D95/24</f>
        <v>2.4995833333333333</v>
      </c>
    </row>
    <row r="96" spans="1:8" x14ac:dyDescent="0.25">
      <c r="A96" s="107" t="s">
        <v>580</v>
      </c>
      <c r="B96" s="107">
        <v>7012353</v>
      </c>
      <c r="C96" s="135" t="s">
        <v>574</v>
      </c>
      <c r="D96" s="113">
        <v>59.99</v>
      </c>
      <c r="E96" s="113">
        <f>D96/3</f>
        <v>19.996666666666666</v>
      </c>
      <c r="F96" s="113">
        <f>D96/6</f>
        <v>9.9983333333333331</v>
      </c>
      <c r="G96" s="113">
        <f>D96/12</f>
        <v>4.9991666666666665</v>
      </c>
      <c r="H96" s="113">
        <f>D96/24</f>
        <v>2.4995833333333333</v>
      </c>
    </row>
    <row r="97" spans="1:8" x14ac:dyDescent="0.25">
      <c r="A97" s="107" t="s">
        <v>581</v>
      </c>
      <c r="B97" s="107">
        <v>7012298</v>
      </c>
      <c r="C97" s="135" t="s">
        <v>575</v>
      </c>
      <c r="D97" s="113">
        <v>39.99</v>
      </c>
      <c r="E97" s="113">
        <f>D97/3</f>
        <v>13.33</v>
      </c>
      <c r="F97" s="113">
        <f>D97/6</f>
        <v>6.665</v>
      </c>
      <c r="G97" s="113">
        <f>D97/12</f>
        <v>3.3325</v>
      </c>
      <c r="H97" s="113">
        <f>D97/24</f>
        <v>1.66625</v>
      </c>
    </row>
    <row r="98" spans="1:8" x14ac:dyDescent="0.25">
      <c r="A98" s="107" t="s">
        <v>655</v>
      </c>
      <c r="B98" s="107">
        <v>7012547</v>
      </c>
      <c r="C98" s="135" t="s">
        <v>767</v>
      </c>
      <c r="D98" s="113">
        <v>49.99</v>
      </c>
      <c r="E98" s="113">
        <f t="shared" ref="E98:E106" si="28">D98/3</f>
        <v>16.663333333333334</v>
      </c>
      <c r="F98" s="113">
        <f t="shared" ref="F98:F106" si="29">D98/6</f>
        <v>8.331666666666667</v>
      </c>
      <c r="G98" s="113">
        <f t="shared" ref="G98:G106" si="30">D98/12</f>
        <v>4.1658333333333335</v>
      </c>
      <c r="H98" s="113">
        <f t="shared" ref="H98:H106" si="31">D98/24</f>
        <v>2.0829166666666667</v>
      </c>
    </row>
    <row r="99" spans="1:8" x14ac:dyDescent="0.25">
      <c r="A99" s="107" t="s">
        <v>656</v>
      </c>
      <c r="B99" s="107">
        <v>7012548</v>
      </c>
      <c r="C99" s="135" t="s">
        <v>768</v>
      </c>
      <c r="D99" s="113">
        <v>49.99</v>
      </c>
      <c r="E99" s="113">
        <f t="shared" si="28"/>
        <v>16.663333333333334</v>
      </c>
      <c r="F99" s="113">
        <f t="shared" si="29"/>
        <v>8.331666666666667</v>
      </c>
      <c r="G99" s="113">
        <f t="shared" si="30"/>
        <v>4.1658333333333335</v>
      </c>
      <c r="H99" s="113">
        <f t="shared" si="31"/>
        <v>2.0829166666666667</v>
      </c>
    </row>
    <row r="100" spans="1:8" x14ac:dyDescent="0.25">
      <c r="A100" s="107" t="s">
        <v>657</v>
      </c>
      <c r="B100" s="107">
        <v>7012549</v>
      </c>
      <c r="C100" s="135" t="s">
        <v>769</v>
      </c>
      <c r="D100" s="113">
        <v>49.99</v>
      </c>
      <c r="E100" s="113">
        <f t="shared" si="28"/>
        <v>16.663333333333334</v>
      </c>
      <c r="F100" s="113">
        <f t="shared" si="29"/>
        <v>8.331666666666667</v>
      </c>
      <c r="G100" s="113">
        <f t="shared" si="30"/>
        <v>4.1658333333333335</v>
      </c>
      <c r="H100" s="113">
        <f t="shared" si="31"/>
        <v>2.0829166666666667</v>
      </c>
    </row>
    <row r="101" spans="1:8" x14ac:dyDescent="0.25">
      <c r="A101" s="107" t="s">
        <v>658</v>
      </c>
      <c r="B101" s="107">
        <v>7012550</v>
      </c>
      <c r="C101" s="135" t="s">
        <v>770</v>
      </c>
      <c r="D101" s="113">
        <v>129.99</v>
      </c>
      <c r="E101" s="113">
        <f t="shared" si="28"/>
        <v>43.330000000000005</v>
      </c>
      <c r="F101" s="113">
        <f t="shared" si="29"/>
        <v>21.665000000000003</v>
      </c>
      <c r="G101" s="113">
        <f t="shared" si="30"/>
        <v>10.832500000000001</v>
      </c>
      <c r="H101" s="113">
        <f t="shared" si="31"/>
        <v>5.4162500000000007</v>
      </c>
    </row>
    <row r="102" spans="1:8" x14ac:dyDescent="0.25">
      <c r="A102" s="107" t="s">
        <v>659</v>
      </c>
      <c r="B102" s="107">
        <v>7012551</v>
      </c>
      <c r="C102" s="135" t="s">
        <v>771</v>
      </c>
      <c r="D102" s="113">
        <v>129.99</v>
      </c>
      <c r="E102" s="113">
        <f t="shared" si="28"/>
        <v>43.330000000000005</v>
      </c>
      <c r="F102" s="113">
        <f t="shared" si="29"/>
        <v>21.665000000000003</v>
      </c>
      <c r="G102" s="113">
        <f t="shared" si="30"/>
        <v>10.832500000000001</v>
      </c>
      <c r="H102" s="113">
        <f t="shared" si="31"/>
        <v>5.4162500000000007</v>
      </c>
    </row>
    <row r="103" spans="1:8" x14ac:dyDescent="0.25">
      <c r="A103" s="107" t="s">
        <v>660</v>
      </c>
      <c r="B103" s="107">
        <v>7012552</v>
      </c>
      <c r="C103" s="135" t="s">
        <v>772</v>
      </c>
      <c r="D103" s="113">
        <v>129.99</v>
      </c>
      <c r="E103" s="113">
        <f t="shared" si="28"/>
        <v>43.330000000000005</v>
      </c>
      <c r="F103" s="113">
        <f t="shared" si="29"/>
        <v>21.665000000000003</v>
      </c>
      <c r="G103" s="113">
        <f t="shared" si="30"/>
        <v>10.832500000000001</v>
      </c>
      <c r="H103" s="113">
        <f t="shared" si="31"/>
        <v>5.4162500000000007</v>
      </c>
    </row>
    <row r="104" spans="1:8" x14ac:dyDescent="0.25">
      <c r="A104" s="107" t="s">
        <v>661</v>
      </c>
      <c r="B104" s="107">
        <v>7012553</v>
      </c>
      <c r="C104" s="135" t="s">
        <v>773</v>
      </c>
      <c r="D104" s="113">
        <v>79.989999999999995</v>
      </c>
      <c r="E104" s="113">
        <f t="shared" si="28"/>
        <v>26.66333333333333</v>
      </c>
      <c r="F104" s="113">
        <f t="shared" si="29"/>
        <v>13.331666666666665</v>
      </c>
      <c r="G104" s="113">
        <f t="shared" si="30"/>
        <v>6.6658333333333326</v>
      </c>
      <c r="H104" s="113">
        <f t="shared" si="31"/>
        <v>3.3329166666666663</v>
      </c>
    </row>
    <row r="105" spans="1:8" x14ac:dyDescent="0.25">
      <c r="A105" s="107" t="s">
        <v>662</v>
      </c>
      <c r="B105" s="107">
        <v>7012554</v>
      </c>
      <c r="C105" s="135" t="s">
        <v>774</v>
      </c>
      <c r="D105" s="113">
        <v>79.989999999999995</v>
      </c>
      <c r="E105" s="113">
        <f t="shared" si="28"/>
        <v>26.66333333333333</v>
      </c>
      <c r="F105" s="113">
        <f t="shared" si="29"/>
        <v>13.331666666666665</v>
      </c>
      <c r="G105" s="113">
        <f t="shared" si="30"/>
        <v>6.6658333333333326</v>
      </c>
      <c r="H105" s="113">
        <f t="shared" si="31"/>
        <v>3.3329166666666663</v>
      </c>
    </row>
    <row r="106" spans="1:8" x14ac:dyDescent="0.25">
      <c r="A106" s="107" t="s">
        <v>663</v>
      </c>
      <c r="B106" s="107">
        <v>7012556</v>
      </c>
      <c r="C106" s="135" t="s">
        <v>775</v>
      </c>
      <c r="D106" s="113">
        <v>395.99</v>
      </c>
      <c r="E106" s="113">
        <f t="shared" si="28"/>
        <v>131.99666666666667</v>
      </c>
      <c r="F106" s="113">
        <f t="shared" si="29"/>
        <v>65.998333333333335</v>
      </c>
      <c r="G106" s="113">
        <f t="shared" si="30"/>
        <v>32.999166666666667</v>
      </c>
      <c r="H106" s="113">
        <f t="shared" si="31"/>
        <v>16.499583333333334</v>
      </c>
    </row>
    <row r="107" spans="1:8" x14ac:dyDescent="0.25">
      <c r="A107" s="107" t="s">
        <v>531</v>
      </c>
      <c r="B107" s="107">
        <v>7011035</v>
      </c>
      <c r="C107" s="136" t="s">
        <v>776</v>
      </c>
      <c r="D107" s="113">
        <v>14.99</v>
      </c>
      <c r="E107" s="113">
        <f t="shared" si="24"/>
        <v>4.996666666666667</v>
      </c>
      <c r="F107" s="113">
        <f t="shared" si="25"/>
        <v>2.4983333333333335</v>
      </c>
      <c r="G107" s="113">
        <f t="shared" si="26"/>
        <v>1.2491666666666668</v>
      </c>
      <c r="H107" s="113">
        <f t="shared" si="27"/>
        <v>0.62458333333333338</v>
      </c>
    </row>
    <row r="108" spans="1:8" x14ac:dyDescent="0.25">
      <c r="A108" s="107" t="s">
        <v>585</v>
      </c>
      <c r="B108" s="107">
        <v>7012360</v>
      </c>
      <c r="C108" s="135" t="s">
        <v>777</v>
      </c>
      <c r="D108" s="113">
        <v>24.99</v>
      </c>
      <c r="E108" s="113">
        <f t="shared" si="24"/>
        <v>8.33</v>
      </c>
      <c r="F108" s="113">
        <f t="shared" si="25"/>
        <v>4.165</v>
      </c>
      <c r="G108" s="113">
        <f t="shared" si="26"/>
        <v>2.0825</v>
      </c>
      <c r="H108" s="113">
        <f t="shared" si="27"/>
        <v>1.04125</v>
      </c>
    </row>
    <row r="109" spans="1:8" x14ac:dyDescent="0.25">
      <c r="A109" s="107" t="s">
        <v>530</v>
      </c>
      <c r="B109" s="107">
        <v>7011107</v>
      </c>
      <c r="C109" s="136" t="s">
        <v>778</v>
      </c>
      <c r="D109" s="113">
        <v>39.99</v>
      </c>
      <c r="E109" s="113">
        <f t="shared" si="24"/>
        <v>13.33</v>
      </c>
      <c r="F109" s="113">
        <f t="shared" si="25"/>
        <v>6.665</v>
      </c>
      <c r="G109" s="113">
        <f t="shared" si="26"/>
        <v>3.3325</v>
      </c>
      <c r="H109" s="113">
        <f t="shared" si="27"/>
        <v>1.66625</v>
      </c>
    </row>
    <row r="110" spans="1:8" x14ac:dyDescent="0.25">
      <c r="A110" s="107" t="s">
        <v>589</v>
      </c>
      <c r="B110" s="107">
        <v>7010693</v>
      </c>
      <c r="C110" s="135" t="s">
        <v>586</v>
      </c>
      <c r="D110" s="113">
        <v>49.99</v>
      </c>
      <c r="E110" s="113">
        <f t="shared" si="24"/>
        <v>16.663333333333334</v>
      </c>
      <c r="F110" s="113">
        <f t="shared" si="25"/>
        <v>8.331666666666667</v>
      </c>
      <c r="G110" s="113">
        <f t="shared" si="26"/>
        <v>4.1658333333333335</v>
      </c>
      <c r="H110" s="113">
        <f t="shared" si="27"/>
        <v>2.0829166666666667</v>
      </c>
    </row>
    <row r="111" spans="1:8" x14ac:dyDescent="0.25">
      <c r="A111" s="107" t="s">
        <v>539</v>
      </c>
      <c r="B111" s="107">
        <v>7006793</v>
      </c>
      <c r="C111" s="137" t="s">
        <v>779</v>
      </c>
      <c r="D111" s="113">
        <v>99.99</v>
      </c>
      <c r="E111" s="108">
        <f t="shared" si="24"/>
        <v>33.33</v>
      </c>
      <c r="F111" s="108">
        <f t="shared" si="25"/>
        <v>16.664999999999999</v>
      </c>
      <c r="G111" s="108">
        <f t="shared" si="26"/>
        <v>8.3324999999999996</v>
      </c>
      <c r="H111" s="108">
        <f t="shared" si="27"/>
        <v>4.1662499999999998</v>
      </c>
    </row>
    <row r="112" spans="1:8" x14ac:dyDescent="0.25">
      <c r="A112" s="107" t="s">
        <v>588</v>
      </c>
      <c r="B112" s="107">
        <v>7012393</v>
      </c>
      <c r="C112" s="135" t="s">
        <v>780</v>
      </c>
      <c r="D112" s="113">
        <v>29.99</v>
      </c>
      <c r="E112" s="113">
        <f>D112/3</f>
        <v>9.9966666666666661</v>
      </c>
      <c r="F112" s="113">
        <f>D112/6</f>
        <v>4.9983333333333331</v>
      </c>
      <c r="G112" s="113">
        <f>D112/12</f>
        <v>2.4991666666666665</v>
      </c>
      <c r="H112" s="113">
        <f>D112/24</f>
        <v>1.2495833333333333</v>
      </c>
    </row>
    <row r="113" spans="1:8" x14ac:dyDescent="0.25">
      <c r="A113" s="107" t="s">
        <v>988</v>
      </c>
      <c r="B113" s="107">
        <v>7008956</v>
      </c>
      <c r="C113" s="137" t="s">
        <v>989</v>
      </c>
      <c r="D113" s="113">
        <v>24.99</v>
      </c>
      <c r="E113" s="108">
        <f>D113/3</f>
        <v>8.33</v>
      </c>
      <c r="F113" s="108">
        <f>D113/6</f>
        <v>4.165</v>
      </c>
      <c r="G113" s="108">
        <f>D113/12</f>
        <v>2.0825</v>
      </c>
      <c r="H113" s="108">
        <f>D113/24</f>
        <v>1.04125</v>
      </c>
    </row>
    <row r="114" spans="1:8" x14ac:dyDescent="0.25">
      <c r="A114" s="140" t="s">
        <v>738</v>
      </c>
      <c r="B114" s="140">
        <v>7013067</v>
      </c>
      <c r="C114" s="135" t="s">
        <v>734</v>
      </c>
      <c r="D114" s="197">
        <v>29.99</v>
      </c>
      <c r="E114" s="113">
        <f t="shared" ref="E114:E144" si="32">D114/3</f>
        <v>9.9966666666666661</v>
      </c>
      <c r="F114" s="113">
        <f t="shared" ref="F114:F144" si="33">D114/6</f>
        <v>4.9983333333333331</v>
      </c>
      <c r="G114" s="113">
        <f t="shared" ref="G114:G144" si="34">D114/12</f>
        <v>2.4991666666666665</v>
      </c>
      <c r="H114" s="113">
        <f t="shared" ref="H114:H144" si="35">D114/24</f>
        <v>1.2495833333333333</v>
      </c>
    </row>
    <row r="115" spans="1:8" x14ac:dyDescent="0.25">
      <c r="A115" s="107" t="s">
        <v>739</v>
      </c>
      <c r="B115" s="107">
        <v>7013068</v>
      </c>
      <c r="C115" s="135" t="s">
        <v>735</v>
      </c>
      <c r="D115" s="197">
        <v>29.99</v>
      </c>
      <c r="E115" s="113">
        <f t="shared" si="32"/>
        <v>9.9966666666666661</v>
      </c>
      <c r="F115" s="113">
        <f t="shared" si="33"/>
        <v>4.9983333333333331</v>
      </c>
      <c r="G115" s="113">
        <f t="shared" si="34"/>
        <v>2.4991666666666665</v>
      </c>
      <c r="H115" s="113">
        <f t="shared" si="35"/>
        <v>1.2495833333333333</v>
      </c>
    </row>
    <row r="116" spans="1:8" x14ac:dyDescent="0.25">
      <c r="A116" s="107" t="s">
        <v>740</v>
      </c>
      <c r="B116" s="107">
        <v>7013069</v>
      </c>
      <c r="C116" s="135" t="s">
        <v>736</v>
      </c>
      <c r="D116" s="197">
        <v>29.99</v>
      </c>
      <c r="E116" s="113">
        <f t="shared" si="32"/>
        <v>9.9966666666666661</v>
      </c>
      <c r="F116" s="113">
        <f t="shared" si="33"/>
        <v>4.9983333333333331</v>
      </c>
      <c r="G116" s="113">
        <f t="shared" si="34"/>
        <v>2.4991666666666665</v>
      </c>
      <c r="H116" s="113">
        <f t="shared" si="35"/>
        <v>1.2495833333333333</v>
      </c>
    </row>
    <row r="117" spans="1:8" x14ac:dyDescent="0.3">
      <c r="A117" s="198" t="s">
        <v>741</v>
      </c>
      <c r="B117" s="121">
        <v>7013070</v>
      </c>
      <c r="C117" s="135" t="s">
        <v>737</v>
      </c>
      <c r="D117" s="197">
        <v>34.99</v>
      </c>
      <c r="E117" s="113">
        <f t="shared" si="32"/>
        <v>11.663333333333334</v>
      </c>
      <c r="F117" s="113">
        <f t="shared" si="33"/>
        <v>5.831666666666667</v>
      </c>
      <c r="G117" s="113">
        <f t="shared" si="34"/>
        <v>2.9158333333333335</v>
      </c>
      <c r="H117" s="113">
        <f t="shared" si="35"/>
        <v>1.4579166666666667</v>
      </c>
    </row>
    <row r="118" spans="1:8" x14ac:dyDescent="0.25">
      <c r="A118" s="107" t="s">
        <v>990</v>
      </c>
      <c r="B118" s="107">
        <v>7013428</v>
      </c>
      <c r="C118" s="196" t="s">
        <v>991</v>
      </c>
      <c r="D118" s="113">
        <v>39.99</v>
      </c>
      <c r="E118" s="113">
        <f t="shared" si="32"/>
        <v>13.33</v>
      </c>
      <c r="F118" s="113">
        <f t="shared" si="33"/>
        <v>6.665</v>
      </c>
      <c r="G118" s="113">
        <f t="shared" si="34"/>
        <v>3.3325</v>
      </c>
      <c r="H118" s="113">
        <f t="shared" si="35"/>
        <v>1.66625</v>
      </c>
    </row>
    <row r="119" spans="1:8" x14ac:dyDescent="0.25">
      <c r="A119" s="107" t="s">
        <v>992</v>
      </c>
      <c r="B119" s="107">
        <v>7013429</v>
      </c>
      <c r="C119" s="196" t="s">
        <v>993</v>
      </c>
      <c r="D119" s="113">
        <v>34.99</v>
      </c>
      <c r="E119" s="113">
        <f t="shared" si="32"/>
        <v>11.663333333333334</v>
      </c>
      <c r="F119" s="113">
        <f t="shared" si="33"/>
        <v>5.831666666666667</v>
      </c>
      <c r="G119" s="113">
        <f t="shared" si="34"/>
        <v>2.9158333333333335</v>
      </c>
      <c r="H119" s="113">
        <f t="shared" si="35"/>
        <v>1.4579166666666667</v>
      </c>
    </row>
    <row r="120" spans="1:8" x14ac:dyDescent="0.25">
      <c r="A120" s="107" t="s">
        <v>679</v>
      </c>
      <c r="B120" s="140">
        <v>7012469</v>
      </c>
      <c r="C120" s="135" t="s">
        <v>781</v>
      </c>
      <c r="D120" s="113">
        <v>299.99</v>
      </c>
      <c r="E120" s="113">
        <f>D120/3</f>
        <v>99.99666666666667</v>
      </c>
      <c r="F120" s="113">
        <f>D120/6</f>
        <v>49.998333333333335</v>
      </c>
      <c r="G120" s="113">
        <f>D120/12</f>
        <v>24.999166666666667</v>
      </c>
      <c r="H120" s="113">
        <f>D120/24</f>
        <v>12.499583333333334</v>
      </c>
    </row>
    <row r="121" spans="1:8" x14ac:dyDescent="0.25">
      <c r="A121" s="107" t="s">
        <v>646</v>
      </c>
      <c r="B121" s="107">
        <v>7012506</v>
      </c>
      <c r="C121" s="135" t="s">
        <v>685</v>
      </c>
      <c r="D121" s="113">
        <v>329.99</v>
      </c>
      <c r="E121" s="108">
        <f t="shared" si="32"/>
        <v>109.99666666666667</v>
      </c>
      <c r="F121" s="108">
        <f t="shared" si="33"/>
        <v>54.998333333333335</v>
      </c>
      <c r="G121" s="108">
        <f t="shared" si="34"/>
        <v>27.499166666666667</v>
      </c>
      <c r="H121" s="108">
        <f t="shared" si="35"/>
        <v>13.749583333333334</v>
      </c>
    </row>
    <row r="122" spans="1:8" x14ac:dyDescent="0.25">
      <c r="A122" s="107" t="s">
        <v>647</v>
      </c>
      <c r="B122" s="107">
        <v>7012475</v>
      </c>
      <c r="C122" s="135" t="s">
        <v>686</v>
      </c>
      <c r="D122" s="113">
        <v>329.99</v>
      </c>
      <c r="E122" s="108">
        <f t="shared" si="32"/>
        <v>109.99666666666667</v>
      </c>
      <c r="F122" s="108">
        <f t="shared" si="33"/>
        <v>54.998333333333335</v>
      </c>
      <c r="G122" s="108">
        <f t="shared" si="34"/>
        <v>27.499166666666667</v>
      </c>
      <c r="H122" s="108">
        <f t="shared" si="35"/>
        <v>13.749583333333334</v>
      </c>
    </row>
    <row r="123" spans="1:8" x14ac:dyDescent="0.25">
      <c r="A123" s="107" t="s">
        <v>994</v>
      </c>
      <c r="B123" s="107">
        <v>7013389</v>
      </c>
      <c r="C123" s="196" t="s">
        <v>995</v>
      </c>
      <c r="D123" s="113">
        <v>349.99</v>
      </c>
      <c r="E123" s="113">
        <f t="shared" si="32"/>
        <v>116.66333333333334</v>
      </c>
      <c r="F123" s="113">
        <f t="shared" si="33"/>
        <v>58.331666666666671</v>
      </c>
      <c r="G123" s="113">
        <f t="shared" si="34"/>
        <v>29.165833333333335</v>
      </c>
      <c r="H123" s="113">
        <f t="shared" si="35"/>
        <v>14.582916666666668</v>
      </c>
    </row>
    <row r="124" spans="1:8" x14ac:dyDescent="0.25">
      <c r="A124" s="107" t="s">
        <v>996</v>
      </c>
      <c r="B124" s="107">
        <v>7013390</v>
      </c>
      <c r="C124" s="196" t="s">
        <v>997</v>
      </c>
      <c r="D124" s="113">
        <v>349.99</v>
      </c>
      <c r="E124" s="113">
        <f t="shared" si="32"/>
        <v>116.66333333333334</v>
      </c>
      <c r="F124" s="113">
        <f t="shared" si="33"/>
        <v>58.331666666666671</v>
      </c>
      <c r="G124" s="113">
        <f t="shared" si="34"/>
        <v>29.165833333333335</v>
      </c>
      <c r="H124" s="113">
        <f t="shared" si="35"/>
        <v>14.582916666666668</v>
      </c>
    </row>
    <row r="125" spans="1:8" x14ac:dyDescent="0.25">
      <c r="A125" s="107" t="s">
        <v>998</v>
      </c>
      <c r="B125" s="107">
        <v>7013391</v>
      </c>
      <c r="C125" s="196" t="s">
        <v>999</v>
      </c>
      <c r="D125" s="113">
        <v>379.99</v>
      </c>
      <c r="E125" s="113">
        <f t="shared" si="32"/>
        <v>126.66333333333334</v>
      </c>
      <c r="F125" s="113">
        <f t="shared" si="33"/>
        <v>63.331666666666671</v>
      </c>
      <c r="G125" s="113">
        <f t="shared" si="34"/>
        <v>31.665833333333335</v>
      </c>
      <c r="H125" s="113">
        <f t="shared" si="35"/>
        <v>15.832916666666668</v>
      </c>
    </row>
    <row r="126" spans="1:8" x14ac:dyDescent="0.25">
      <c r="A126" s="107" t="s">
        <v>1000</v>
      </c>
      <c r="B126" s="107">
        <v>7013392</v>
      </c>
      <c r="C126" s="196" t="s">
        <v>1001</v>
      </c>
      <c r="D126" s="113">
        <v>379.99</v>
      </c>
      <c r="E126" s="113">
        <f t="shared" si="32"/>
        <v>126.66333333333334</v>
      </c>
      <c r="F126" s="113">
        <f t="shared" si="33"/>
        <v>63.331666666666671</v>
      </c>
      <c r="G126" s="113">
        <f t="shared" si="34"/>
        <v>31.665833333333335</v>
      </c>
      <c r="H126" s="113">
        <f t="shared" si="35"/>
        <v>15.832916666666668</v>
      </c>
    </row>
    <row r="127" spans="1:8" x14ac:dyDescent="0.25">
      <c r="A127" s="107" t="s">
        <v>1002</v>
      </c>
      <c r="B127" s="107">
        <v>7013393</v>
      </c>
      <c r="C127" s="196" t="s">
        <v>1003</v>
      </c>
      <c r="D127" s="113">
        <v>499.99</v>
      </c>
      <c r="E127" s="113">
        <f t="shared" si="32"/>
        <v>166.66333333333333</v>
      </c>
      <c r="F127" s="113">
        <f t="shared" si="33"/>
        <v>83.331666666666663</v>
      </c>
      <c r="G127" s="113">
        <f t="shared" si="34"/>
        <v>41.665833333333332</v>
      </c>
      <c r="H127" s="113">
        <f t="shared" si="35"/>
        <v>20.832916666666666</v>
      </c>
    </row>
    <row r="128" spans="1:8" x14ac:dyDescent="0.25">
      <c r="A128" s="107" t="s">
        <v>1004</v>
      </c>
      <c r="B128" s="107">
        <v>7013394</v>
      </c>
      <c r="C128" s="196" t="s">
        <v>1005</v>
      </c>
      <c r="D128" s="113">
        <v>499.99</v>
      </c>
      <c r="E128" s="113">
        <f t="shared" si="32"/>
        <v>166.66333333333333</v>
      </c>
      <c r="F128" s="113">
        <f t="shared" si="33"/>
        <v>83.331666666666663</v>
      </c>
      <c r="G128" s="113">
        <f t="shared" si="34"/>
        <v>41.665833333333332</v>
      </c>
      <c r="H128" s="113">
        <f t="shared" si="35"/>
        <v>20.832916666666666</v>
      </c>
    </row>
    <row r="129" spans="1:8" x14ac:dyDescent="0.25">
      <c r="A129" s="107" t="s">
        <v>576</v>
      </c>
      <c r="B129" s="107">
        <v>7012174</v>
      </c>
      <c r="C129" s="135" t="s">
        <v>782</v>
      </c>
      <c r="D129" s="113">
        <v>69.989999999999995</v>
      </c>
      <c r="E129" s="113">
        <f t="shared" si="32"/>
        <v>23.33</v>
      </c>
      <c r="F129" s="113">
        <f t="shared" si="33"/>
        <v>11.664999999999999</v>
      </c>
      <c r="G129" s="113">
        <f t="shared" si="34"/>
        <v>5.8324999999999996</v>
      </c>
      <c r="H129" s="113">
        <f t="shared" si="35"/>
        <v>2.9162499999999998</v>
      </c>
    </row>
    <row r="130" spans="1:8" x14ac:dyDescent="0.25">
      <c r="A130" s="107" t="s">
        <v>577</v>
      </c>
      <c r="B130" s="107">
        <v>7012175</v>
      </c>
      <c r="C130" s="135" t="s">
        <v>783</v>
      </c>
      <c r="D130" s="113">
        <v>69.989999999999995</v>
      </c>
      <c r="E130" s="113">
        <f t="shared" si="32"/>
        <v>23.33</v>
      </c>
      <c r="F130" s="113">
        <f t="shared" si="33"/>
        <v>11.664999999999999</v>
      </c>
      <c r="G130" s="113">
        <f t="shared" si="34"/>
        <v>5.8324999999999996</v>
      </c>
      <c r="H130" s="113">
        <f t="shared" si="35"/>
        <v>2.9162499999999998</v>
      </c>
    </row>
    <row r="131" spans="1:8" x14ac:dyDescent="0.25">
      <c r="A131" s="107" t="s">
        <v>578</v>
      </c>
      <c r="B131" s="107">
        <v>7012196</v>
      </c>
      <c r="C131" s="135" t="s">
        <v>784</v>
      </c>
      <c r="D131" s="113">
        <v>69.989999999999995</v>
      </c>
      <c r="E131" s="113">
        <f t="shared" si="32"/>
        <v>23.33</v>
      </c>
      <c r="F131" s="113">
        <f t="shared" si="33"/>
        <v>11.664999999999999</v>
      </c>
      <c r="G131" s="113">
        <f t="shared" si="34"/>
        <v>5.8324999999999996</v>
      </c>
      <c r="H131" s="113">
        <f t="shared" si="35"/>
        <v>2.9162499999999998</v>
      </c>
    </row>
    <row r="132" spans="1:8" x14ac:dyDescent="0.25">
      <c r="A132" s="107" t="s">
        <v>873</v>
      </c>
      <c r="B132" s="107">
        <v>7006968</v>
      </c>
      <c r="C132" s="138" t="s">
        <v>874</v>
      </c>
      <c r="D132" s="113">
        <v>129.99</v>
      </c>
      <c r="E132" s="108">
        <f t="shared" si="32"/>
        <v>43.330000000000005</v>
      </c>
      <c r="F132" s="108">
        <f t="shared" si="33"/>
        <v>21.665000000000003</v>
      </c>
      <c r="G132" s="108">
        <f t="shared" si="34"/>
        <v>10.832500000000001</v>
      </c>
      <c r="H132" s="108">
        <f t="shared" si="35"/>
        <v>5.4162500000000007</v>
      </c>
    </row>
    <row r="133" spans="1:8" x14ac:dyDescent="0.25">
      <c r="A133" s="107" t="s">
        <v>875</v>
      </c>
      <c r="B133" s="107">
        <v>7007947</v>
      </c>
      <c r="C133" s="138" t="s">
        <v>876</v>
      </c>
      <c r="D133" s="113">
        <v>59.99</v>
      </c>
      <c r="E133" s="108">
        <f t="shared" si="32"/>
        <v>19.996666666666666</v>
      </c>
      <c r="F133" s="108">
        <f t="shared" si="33"/>
        <v>9.9983333333333331</v>
      </c>
      <c r="G133" s="108">
        <f t="shared" si="34"/>
        <v>4.9991666666666665</v>
      </c>
      <c r="H133" s="108">
        <f t="shared" si="35"/>
        <v>2.4995833333333333</v>
      </c>
    </row>
    <row r="134" spans="1:8" x14ac:dyDescent="0.25">
      <c r="A134" s="107" t="s">
        <v>552</v>
      </c>
      <c r="B134" s="107">
        <v>7011697</v>
      </c>
      <c r="C134" s="136" t="s">
        <v>785</v>
      </c>
      <c r="D134" s="113">
        <v>99.99</v>
      </c>
      <c r="E134" s="113">
        <f t="shared" si="32"/>
        <v>33.33</v>
      </c>
      <c r="F134" s="113">
        <f t="shared" si="33"/>
        <v>16.664999999999999</v>
      </c>
      <c r="G134" s="113">
        <f t="shared" si="34"/>
        <v>8.3324999999999996</v>
      </c>
      <c r="H134" s="113">
        <f t="shared" si="35"/>
        <v>4.1662499999999998</v>
      </c>
    </row>
    <row r="135" spans="1:8" x14ac:dyDescent="0.25">
      <c r="A135" s="107" t="s">
        <v>553</v>
      </c>
      <c r="B135" s="107">
        <v>7011699</v>
      </c>
      <c r="C135" s="136" t="s">
        <v>786</v>
      </c>
      <c r="D135" s="113">
        <v>99.99</v>
      </c>
      <c r="E135" s="113">
        <f t="shared" si="32"/>
        <v>33.33</v>
      </c>
      <c r="F135" s="113">
        <f t="shared" si="33"/>
        <v>16.664999999999999</v>
      </c>
      <c r="G135" s="113">
        <f t="shared" si="34"/>
        <v>8.3324999999999996</v>
      </c>
      <c r="H135" s="113">
        <f t="shared" si="35"/>
        <v>4.1662499999999998</v>
      </c>
    </row>
    <row r="136" spans="1:8" x14ac:dyDescent="0.25">
      <c r="A136" s="107" t="s">
        <v>648</v>
      </c>
      <c r="B136" s="107">
        <v>7012427</v>
      </c>
      <c r="C136" s="136" t="s">
        <v>683</v>
      </c>
      <c r="D136" s="113">
        <v>179.99</v>
      </c>
      <c r="E136" s="108">
        <f t="shared" si="32"/>
        <v>59.99666666666667</v>
      </c>
      <c r="F136" s="108">
        <f t="shared" si="33"/>
        <v>29.998333333333335</v>
      </c>
      <c r="G136" s="108">
        <f t="shared" si="34"/>
        <v>14.999166666666667</v>
      </c>
      <c r="H136" s="108">
        <f t="shared" si="35"/>
        <v>7.4995833333333337</v>
      </c>
    </row>
    <row r="137" spans="1:8" x14ac:dyDescent="0.25">
      <c r="A137" s="107" t="s">
        <v>649</v>
      </c>
      <c r="B137" s="107">
        <v>7012428</v>
      </c>
      <c r="C137" s="136" t="s">
        <v>684</v>
      </c>
      <c r="D137" s="113">
        <v>179.99</v>
      </c>
      <c r="E137" s="108">
        <f t="shared" si="32"/>
        <v>59.99666666666667</v>
      </c>
      <c r="F137" s="108">
        <f t="shared" si="33"/>
        <v>29.998333333333335</v>
      </c>
      <c r="G137" s="108">
        <f t="shared" si="34"/>
        <v>14.999166666666667</v>
      </c>
      <c r="H137" s="108">
        <f t="shared" si="35"/>
        <v>7.4995833333333337</v>
      </c>
    </row>
    <row r="138" spans="1:8" x14ac:dyDescent="0.25">
      <c r="A138" s="107" t="s">
        <v>561</v>
      </c>
      <c r="B138" s="107">
        <v>7010308</v>
      </c>
      <c r="C138" s="136" t="s">
        <v>787</v>
      </c>
      <c r="D138" s="113">
        <v>229.99</v>
      </c>
      <c r="E138" s="113">
        <f t="shared" si="32"/>
        <v>76.663333333333341</v>
      </c>
      <c r="F138" s="113">
        <f t="shared" si="33"/>
        <v>38.331666666666671</v>
      </c>
      <c r="G138" s="113">
        <f t="shared" si="34"/>
        <v>19.165833333333335</v>
      </c>
      <c r="H138" s="113">
        <f t="shared" si="35"/>
        <v>9.5829166666666676</v>
      </c>
    </row>
    <row r="139" spans="1:8" x14ac:dyDescent="0.25">
      <c r="A139" s="107" t="s">
        <v>562</v>
      </c>
      <c r="B139" s="107">
        <v>7011250</v>
      </c>
      <c r="C139" s="136" t="s">
        <v>788</v>
      </c>
      <c r="D139" s="113">
        <v>229.99</v>
      </c>
      <c r="E139" s="113">
        <f t="shared" si="32"/>
        <v>76.663333333333341</v>
      </c>
      <c r="F139" s="113">
        <f t="shared" si="33"/>
        <v>38.331666666666671</v>
      </c>
      <c r="G139" s="113">
        <f t="shared" si="34"/>
        <v>19.165833333333335</v>
      </c>
      <c r="H139" s="113">
        <f t="shared" si="35"/>
        <v>9.5829166666666676</v>
      </c>
    </row>
    <row r="140" spans="1:8" x14ac:dyDescent="0.25">
      <c r="A140" s="107" t="s">
        <v>1006</v>
      </c>
      <c r="B140" s="107">
        <v>7012429</v>
      </c>
      <c r="C140" s="196" t="s">
        <v>1007</v>
      </c>
      <c r="D140" s="113">
        <v>299.99</v>
      </c>
      <c r="E140" s="113">
        <f>D140/3</f>
        <v>99.99666666666667</v>
      </c>
      <c r="F140" s="113">
        <f>D140/6</f>
        <v>49.998333333333335</v>
      </c>
      <c r="G140" s="113">
        <f>D140/12</f>
        <v>24.999166666666667</v>
      </c>
      <c r="H140" s="113">
        <f>D140/24</f>
        <v>12.499583333333334</v>
      </c>
    </row>
    <row r="141" spans="1:8" x14ac:dyDescent="0.25">
      <c r="A141" s="107" t="s">
        <v>1008</v>
      </c>
      <c r="B141" s="107">
        <v>7012430</v>
      </c>
      <c r="C141" s="196" t="s">
        <v>1009</v>
      </c>
      <c r="D141" s="113">
        <v>299.99</v>
      </c>
      <c r="E141" s="113">
        <f>D141/3</f>
        <v>99.99666666666667</v>
      </c>
      <c r="F141" s="113">
        <f>D141/6</f>
        <v>49.998333333333335</v>
      </c>
      <c r="G141" s="113">
        <f>D141/12</f>
        <v>24.999166666666667</v>
      </c>
      <c r="H141" s="113">
        <f>D141/24</f>
        <v>12.499583333333334</v>
      </c>
    </row>
    <row r="142" spans="1:8" x14ac:dyDescent="0.25">
      <c r="A142" s="107" t="s">
        <v>582</v>
      </c>
      <c r="B142" s="107">
        <v>7012358</v>
      </c>
      <c r="C142" s="135" t="s">
        <v>789</v>
      </c>
      <c r="D142" s="113">
        <v>109.99</v>
      </c>
      <c r="E142" s="113">
        <f t="shared" si="32"/>
        <v>36.663333333333334</v>
      </c>
      <c r="F142" s="113">
        <f t="shared" si="33"/>
        <v>18.331666666666667</v>
      </c>
      <c r="G142" s="113">
        <f t="shared" si="34"/>
        <v>9.1658333333333335</v>
      </c>
      <c r="H142" s="113">
        <f t="shared" si="35"/>
        <v>4.5829166666666667</v>
      </c>
    </row>
    <row r="143" spans="1:8" x14ac:dyDescent="0.25">
      <c r="A143" s="107" t="s">
        <v>583</v>
      </c>
      <c r="B143" s="107">
        <v>7012357</v>
      </c>
      <c r="C143" s="135" t="s">
        <v>790</v>
      </c>
      <c r="D143" s="113">
        <v>109.99</v>
      </c>
      <c r="E143" s="113">
        <f t="shared" si="32"/>
        <v>36.663333333333334</v>
      </c>
      <c r="F143" s="113">
        <f t="shared" si="33"/>
        <v>18.331666666666667</v>
      </c>
      <c r="G143" s="113">
        <f t="shared" si="34"/>
        <v>9.1658333333333335</v>
      </c>
      <c r="H143" s="113">
        <f t="shared" si="35"/>
        <v>4.5829166666666667</v>
      </c>
    </row>
    <row r="144" spans="1:8" x14ac:dyDescent="0.25">
      <c r="A144" s="107" t="s">
        <v>584</v>
      </c>
      <c r="B144" s="107">
        <v>7012354</v>
      </c>
      <c r="C144" s="135" t="s">
        <v>791</v>
      </c>
      <c r="D144" s="113">
        <v>89.99</v>
      </c>
      <c r="E144" s="113">
        <f t="shared" si="32"/>
        <v>29.996666666666666</v>
      </c>
      <c r="F144" s="113">
        <f t="shared" si="33"/>
        <v>14.998333333333333</v>
      </c>
      <c r="G144" s="113">
        <f t="shared" si="34"/>
        <v>7.4991666666666665</v>
      </c>
      <c r="H144" s="113">
        <f t="shared" si="35"/>
        <v>3.7495833333333333</v>
      </c>
    </row>
    <row r="145" spans="1:8" x14ac:dyDescent="0.25">
      <c r="A145" s="107" t="s">
        <v>650</v>
      </c>
      <c r="B145" s="107">
        <v>7012444</v>
      </c>
      <c r="C145" s="135" t="s">
        <v>792</v>
      </c>
      <c r="D145" s="113">
        <v>79.989999999999995</v>
      </c>
      <c r="E145" s="113">
        <f t="shared" ref="E145:E152" si="36">D145/3</f>
        <v>26.66333333333333</v>
      </c>
      <c r="F145" s="113">
        <f t="shared" ref="F145:F152" si="37">D145/6</f>
        <v>13.331666666666665</v>
      </c>
      <c r="G145" s="113">
        <f t="shared" ref="G145:G152" si="38">D145/12</f>
        <v>6.6658333333333326</v>
      </c>
      <c r="H145" s="113">
        <f t="shared" ref="H145:H152" si="39">D145/24</f>
        <v>3.3329166666666663</v>
      </c>
    </row>
    <row r="146" spans="1:8" x14ac:dyDescent="0.25">
      <c r="A146" s="107" t="s">
        <v>651</v>
      </c>
      <c r="B146" s="107">
        <v>7012445</v>
      </c>
      <c r="C146" s="135" t="s">
        <v>793</v>
      </c>
      <c r="D146" s="113">
        <v>79.989999999999995</v>
      </c>
      <c r="E146" s="113">
        <f t="shared" si="36"/>
        <v>26.66333333333333</v>
      </c>
      <c r="F146" s="113">
        <f t="shared" si="37"/>
        <v>13.331666666666665</v>
      </c>
      <c r="G146" s="113">
        <f t="shared" si="38"/>
        <v>6.6658333333333326</v>
      </c>
      <c r="H146" s="113">
        <f t="shared" si="39"/>
        <v>3.3329166666666663</v>
      </c>
    </row>
    <row r="147" spans="1:8" x14ac:dyDescent="0.25">
      <c r="A147" s="107" t="s">
        <v>652</v>
      </c>
      <c r="B147" s="107">
        <v>7012486</v>
      </c>
      <c r="C147" s="135" t="s">
        <v>794</v>
      </c>
      <c r="D147" s="113">
        <v>79.989999999999995</v>
      </c>
      <c r="E147" s="113">
        <f t="shared" si="36"/>
        <v>26.66333333333333</v>
      </c>
      <c r="F147" s="113">
        <f t="shared" si="37"/>
        <v>13.331666666666665</v>
      </c>
      <c r="G147" s="113">
        <f t="shared" si="38"/>
        <v>6.6658333333333326</v>
      </c>
      <c r="H147" s="113">
        <f t="shared" si="39"/>
        <v>3.3329166666666663</v>
      </c>
    </row>
    <row r="148" spans="1:8" x14ac:dyDescent="0.25">
      <c r="A148" s="107" t="s">
        <v>653</v>
      </c>
      <c r="B148" s="107">
        <v>7012487</v>
      </c>
      <c r="C148" s="135" t="s">
        <v>795</v>
      </c>
      <c r="D148" s="113">
        <v>129.99</v>
      </c>
      <c r="E148" s="113">
        <f t="shared" si="36"/>
        <v>43.330000000000005</v>
      </c>
      <c r="F148" s="113">
        <f t="shared" si="37"/>
        <v>21.665000000000003</v>
      </c>
      <c r="G148" s="113">
        <f t="shared" si="38"/>
        <v>10.832500000000001</v>
      </c>
      <c r="H148" s="113">
        <f t="shared" si="39"/>
        <v>5.4162500000000007</v>
      </c>
    </row>
    <row r="149" spans="1:8" x14ac:dyDescent="0.25">
      <c r="A149" s="107" t="s">
        <v>654</v>
      </c>
      <c r="B149" s="107">
        <v>7012488</v>
      </c>
      <c r="C149" s="135" t="s">
        <v>796</v>
      </c>
      <c r="D149" s="113">
        <v>129.99</v>
      </c>
      <c r="E149" s="113">
        <f t="shared" si="36"/>
        <v>43.330000000000005</v>
      </c>
      <c r="F149" s="113">
        <f t="shared" si="37"/>
        <v>21.665000000000003</v>
      </c>
      <c r="G149" s="113">
        <f t="shared" si="38"/>
        <v>10.832500000000001</v>
      </c>
      <c r="H149" s="113">
        <f t="shared" si="39"/>
        <v>5.4162500000000007</v>
      </c>
    </row>
    <row r="150" spans="1:8" x14ac:dyDescent="0.25">
      <c r="A150" s="107" t="s">
        <v>1010</v>
      </c>
      <c r="B150" s="107">
        <v>7013398</v>
      </c>
      <c r="C150" s="196" t="s">
        <v>1011</v>
      </c>
      <c r="D150" s="113">
        <v>129.99</v>
      </c>
      <c r="E150" s="113">
        <f t="shared" si="36"/>
        <v>43.330000000000005</v>
      </c>
      <c r="F150" s="113">
        <f t="shared" si="37"/>
        <v>21.665000000000003</v>
      </c>
      <c r="G150" s="113">
        <f t="shared" si="38"/>
        <v>10.832500000000001</v>
      </c>
      <c r="H150" s="113">
        <f t="shared" si="39"/>
        <v>5.4162500000000007</v>
      </c>
    </row>
    <row r="151" spans="1:8" x14ac:dyDescent="0.25">
      <c r="A151" s="107" t="s">
        <v>1012</v>
      </c>
      <c r="B151" s="107">
        <v>7013399</v>
      </c>
      <c r="C151" s="196" t="s">
        <v>1013</v>
      </c>
      <c r="D151" s="113">
        <v>29.99</v>
      </c>
      <c r="E151" s="113">
        <f t="shared" si="36"/>
        <v>9.9966666666666661</v>
      </c>
      <c r="F151" s="113">
        <f t="shared" si="37"/>
        <v>4.9983333333333331</v>
      </c>
      <c r="G151" s="113">
        <f t="shared" si="38"/>
        <v>2.4991666666666665</v>
      </c>
      <c r="H151" s="113">
        <f t="shared" si="39"/>
        <v>1.2495833333333333</v>
      </c>
    </row>
    <row r="152" spans="1:8" x14ac:dyDescent="0.25">
      <c r="A152" s="107" t="s">
        <v>1014</v>
      </c>
      <c r="B152" s="107">
        <v>7013400</v>
      </c>
      <c r="C152" s="196" t="s">
        <v>1015</v>
      </c>
      <c r="D152" s="113">
        <v>59.99</v>
      </c>
      <c r="E152" s="113">
        <f t="shared" si="36"/>
        <v>19.996666666666666</v>
      </c>
      <c r="F152" s="113">
        <f t="shared" si="37"/>
        <v>9.9983333333333331</v>
      </c>
      <c r="G152" s="113">
        <f t="shared" si="38"/>
        <v>4.9991666666666665</v>
      </c>
      <c r="H152" s="113">
        <f t="shared" si="39"/>
        <v>2.4995833333333333</v>
      </c>
    </row>
  </sheetData>
  <mergeCells count="2">
    <mergeCell ref="A4:H4"/>
    <mergeCell ref="A3:G3"/>
  </mergeCells>
  <conditionalFormatting sqref="A3 H3">
    <cfRule type="duplicateValues" dxfId="65" priority="186"/>
    <cfRule type="duplicateValues" dxfId="64" priority="187"/>
  </conditionalFormatting>
  <conditionalFormatting sqref="A153:A1048576 A1:A2 A4">
    <cfRule type="duplicateValues" dxfId="63" priority="188"/>
    <cfRule type="duplicateValues" dxfId="62" priority="189"/>
  </conditionalFormatting>
  <conditionalFormatting sqref="A153:A1048576 A1:A4">
    <cfRule type="duplicateValues" dxfId="61" priority="160"/>
  </conditionalFormatting>
  <conditionalFormatting sqref="B153:B1048576 B1:B4">
    <cfRule type="duplicateValues" dxfId="60" priority="135"/>
  </conditionalFormatting>
  <conditionalFormatting sqref="B153:B1048576 B1:B2">
    <cfRule type="duplicateValues" dxfId="59" priority="190"/>
  </conditionalFormatting>
  <conditionalFormatting sqref="B153:B1048576">
    <cfRule type="duplicateValues" dxfId="58" priority="161"/>
  </conditionalFormatting>
  <conditionalFormatting sqref="A28:A30">
    <cfRule type="duplicateValues" dxfId="57" priority="14"/>
  </conditionalFormatting>
  <conditionalFormatting sqref="A75 B71:B74 B80:B81">
    <cfRule type="duplicateValues" dxfId="56" priority="51"/>
  </conditionalFormatting>
  <conditionalFormatting sqref="A80:A81 A71:A74 B75">
    <cfRule type="duplicateValues" dxfId="55" priority="50"/>
  </conditionalFormatting>
  <conditionalFormatting sqref="A114">
    <cfRule type="duplicateValues" dxfId="54" priority="13"/>
  </conditionalFormatting>
  <conditionalFormatting sqref="A115">
    <cfRule type="duplicateValues" dxfId="53" priority="11"/>
    <cfRule type="duplicateValues" dxfId="52" priority="12"/>
  </conditionalFormatting>
  <conditionalFormatting sqref="A116">
    <cfRule type="duplicateValues" dxfId="51" priority="9"/>
    <cfRule type="duplicateValues" dxfId="50" priority="10"/>
  </conditionalFormatting>
  <conditionalFormatting sqref="A120">
    <cfRule type="duplicateValues" dxfId="49" priority="49"/>
  </conditionalFormatting>
  <conditionalFormatting sqref="A132:A133 B50 A107 A85:A94 A83 A111 A113 A57 A69 A7:A15 A35:A47 A54:A55 B16:B27 A121:A122 A49 A51">
    <cfRule type="duplicateValues" dxfId="48" priority="52"/>
  </conditionalFormatting>
  <conditionalFormatting sqref="A132:A133 B50 A111 A113 A57 A68:A69 A107 A85:A94 A7:A15 A35:A47 A54:A55 B16:B27 A121:A122 A71:A74 A80:A83 B75 A49 A51">
    <cfRule type="duplicateValues" dxfId="47" priority="53"/>
  </conditionalFormatting>
  <conditionalFormatting sqref="A5:A6">
    <cfRule type="duplicateValues" dxfId="46" priority="45"/>
    <cfRule type="duplicateValues" dxfId="45" priority="46"/>
  </conditionalFormatting>
  <conditionalFormatting sqref="A47:B47">
    <cfRule type="duplicateValues" dxfId="44" priority="30"/>
  </conditionalFormatting>
  <conditionalFormatting sqref="A50:B50">
    <cfRule type="duplicateValues" dxfId="43" priority="19"/>
  </conditionalFormatting>
  <conditionalFormatting sqref="A54:B54">
    <cfRule type="duplicateValues" dxfId="42" priority="29"/>
  </conditionalFormatting>
  <conditionalFormatting sqref="A82:B82">
    <cfRule type="duplicateValues" dxfId="41" priority="31"/>
  </conditionalFormatting>
  <conditionalFormatting sqref="A107:B107 A91:B91 A13:A14">
    <cfRule type="duplicateValues" dxfId="40" priority="32"/>
  </conditionalFormatting>
  <conditionalFormatting sqref="A136:B137">
    <cfRule type="duplicateValues" dxfId="39" priority="26"/>
  </conditionalFormatting>
  <conditionalFormatting sqref="B28:B30">
    <cfRule type="duplicateValues" dxfId="38" priority="15"/>
    <cfRule type="duplicateValues" dxfId="37" priority="16"/>
    <cfRule type="duplicateValues" dxfId="36" priority="17"/>
    <cfRule type="duplicateValues" dxfId="35" priority="18"/>
  </conditionalFormatting>
  <conditionalFormatting sqref="B52">
    <cfRule type="duplicateValues" dxfId="34" priority="35"/>
    <cfRule type="duplicateValues" dxfId="33" priority="36"/>
  </conditionalFormatting>
  <conditionalFormatting sqref="B56">
    <cfRule type="duplicateValues" dxfId="32" priority="37"/>
    <cfRule type="duplicateValues" dxfId="31" priority="38"/>
  </conditionalFormatting>
  <conditionalFormatting sqref="B64">
    <cfRule type="duplicateValues" dxfId="30" priority="25"/>
  </conditionalFormatting>
  <conditionalFormatting sqref="B70">
    <cfRule type="duplicateValues" dxfId="29" priority="55"/>
    <cfRule type="duplicateValues" dxfId="28" priority="56"/>
  </conditionalFormatting>
  <conditionalFormatting sqref="B90">
    <cfRule type="duplicateValues" dxfId="27" priority="54"/>
  </conditionalFormatting>
  <conditionalFormatting sqref="B109">
    <cfRule type="duplicateValues" dxfId="26" priority="20"/>
    <cfRule type="duplicateValues" dxfId="25" priority="21"/>
  </conditionalFormatting>
  <conditionalFormatting sqref="B114">
    <cfRule type="duplicateValues" dxfId="24" priority="6"/>
    <cfRule type="duplicateValues" dxfId="23" priority="7"/>
    <cfRule type="duplicateValues" dxfId="22" priority="8"/>
  </conditionalFormatting>
  <conditionalFormatting sqref="B115">
    <cfRule type="duplicateValues" dxfId="21" priority="4"/>
    <cfRule type="duplicateValues" dxfId="20" priority="5"/>
  </conditionalFormatting>
  <conditionalFormatting sqref="B116">
    <cfRule type="duplicateValues" dxfId="19" priority="2"/>
    <cfRule type="duplicateValues" dxfId="18" priority="3"/>
  </conditionalFormatting>
  <conditionalFormatting sqref="B120">
    <cfRule type="duplicateValues" dxfId="17" priority="22"/>
    <cfRule type="duplicateValues" dxfId="16" priority="23"/>
    <cfRule type="duplicateValues" dxfId="15" priority="24"/>
  </conditionalFormatting>
  <conditionalFormatting sqref="B121:B152 A109 A75 B110:B113 A50 B5:B27 B51:B52 B31:B49 B54:B74 B76:B108 B118:B119">
    <cfRule type="duplicateValues" dxfId="14" priority="64"/>
  </conditionalFormatting>
  <conditionalFormatting sqref="B134:B135">
    <cfRule type="duplicateValues" dxfId="13" priority="42"/>
    <cfRule type="duplicateValues" dxfId="12" priority="43"/>
  </conditionalFormatting>
  <conditionalFormatting sqref="B138:B152 A109 A75 B7:B27 B65:B74 B110:B113 B51:B52 A50 B49 B31:B47 B54:B58 B76:B108 B118:B119 B121:B135">
    <cfRule type="duplicateValues" dxfId="11" priority="69"/>
  </conditionalFormatting>
  <conditionalFormatting sqref="B5:B6">
    <cfRule type="duplicateValues" dxfId="10" priority="62"/>
  </conditionalFormatting>
  <conditionalFormatting sqref="A49:B49">
    <cfRule type="duplicateValues" dxfId="9" priority="812"/>
  </conditionalFormatting>
  <conditionalFormatting sqref="A83:B83 A85:B85">
    <cfRule type="duplicateValues" dxfId="8" priority="894"/>
  </conditionalFormatting>
  <conditionalFormatting sqref="B57">
    <cfRule type="duplicateValues" dxfId="7" priority="1043"/>
  </conditionalFormatting>
  <conditionalFormatting sqref="A118:A152 A76:A108 B50 A31:A49 A110:A113 A5:A27 A51:A52 A54:A74 B109 B75">
    <cfRule type="duplicateValues" dxfId="6" priority="1067"/>
  </conditionalFormatting>
  <conditionalFormatting sqref="A5:A152">
    <cfRule type="duplicateValues" dxfId="5" priority="1078"/>
  </conditionalFormatting>
  <conditionalFormatting sqref="B5:B152">
    <cfRule type="duplicateValues" dxfId="4" priority="1080"/>
  </conditionalFormatting>
  <pageMargins left="0.7" right="0.7" top="0.75" bottom="0.75" header="0.3" footer="0.3"/>
  <pageSetup paperSize="5" scale="76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1C8970195B6E043A50429762C0EA502" ma:contentTypeVersion="12" ma:contentTypeDescription="Crear nuevo documento." ma:contentTypeScope="" ma:versionID="a27a32a9369f572a057a4d43894b215c">
  <xsd:schema xmlns:xsd="http://www.w3.org/2001/XMLSchema" xmlns:xs="http://www.w3.org/2001/XMLSchema" xmlns:p="http://schemas.microsoft.com/office/2006/metadata/properties" xmlns:ns3="c6752cf3-a4ec-4d95-9405-a9d1e6dab5a4" xmlns:ns4="8cb7caea-6a08-484d-858b-3871543f2c8a" targetNamespace="http://schemas.microsoft.com/office/2006/metadata/properties" ma:root="true" ma:fieldsID="d2f838d799d50a15a5395e6c336ffd12" ns3:_="" ns4:_="">
    <xsd:import namespace="c6752cf3-a4ec-4d95-9405-a9d1e6dab5a4"/>
    <xsd:import namespace="8cb7caea-6a08-484d-858b-3871543f2c8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752cf3-a4ec-4d95-9405-a9d1e6dab5a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b7caea-6a08-484d-858b-3871543f2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C49CBC-B197-49B8-9E79-AD06DBEA4E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752cf3-a4ec-4d95-9405-a9d1e6dab5a4"/>
    <ds:schemaRef ds:uri="8cb7caea-6a08-484d-858b-3871543f2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29D0EB-B9B2-4C21-8383-489178E998A2}">
  <ds:schemaRefs>
    <ds:schemaRef ds:uri="http://schemas.microsoft.com/office/2006/documentManagement/types"/>
    <ds:schemaRef ds:uri="http://purl.org/dc/elements/1.1/"/>
    <ds:schemaRef ds:uri="c6752cf3-a4ec-4d95-9405-a9d1e6dab5a4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8cb7caea-6a08-484d-858b-3871543f2c8a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D43DCA5-8E89-4BB7-B803-479A01A293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Ofertas Tablets y Modems</vt:lpstr>
      <vt:lpstr>Finan Equipos Móvil</vt:lpstr>
      <vt:lpstr>Finan Modems- Tablets-Routers</vt:lpstr>
      <vt:lpstr>Planes familiares FAM09A y R</vt:lpstr>
      <vt:lpstr>Planes Fam Otros LOC10A y R</vt:lpstr>
      <vt:lpstr>Precios modems, tablets, HP</vt:lpstr>
      <vt:lpstr>Accesorios</vt:lpstr>
    </vt:vector>
  </TitlesOfParts>
  <Company>PRT-5CG53905BQ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EUNICE R. LOPEZ COLON</dc:creator>
  <cp:lastModifiedBy>MELANIE AYALA</cp:lastModifiedBy>
  <cp:lastPrinted>2022-11-29T15:03:28Z</cp:lastPrinted>
  <dcterms:created xsi:type="dcterms:W3CDTF">2018-05-22T19:56:26Z</dcterms:created>
  <dcterms:modified xsi:type="dcterms:W3CDTF">2025-10-01T21:30:31Z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0x010100A1C8970195B6E043A50429762C0EA502</vt:lpwstr>
  </property>
  <property fmtid="{D5CDD505-2E9C-101B-9397-08002B2CF9AE}" pid="3" name="MSIP_Label_70cb32a6-42be-419f-8d6c-e004b006daae_Enabled">
    <vt:lpwstr>true</vt:lpwstr>
  </property>
  <property fmtid="{D5CDD505-2E9C-101B-9397-08002B2CF9AE}" pid="4" name="MSIP_Label_70cb32a6-42be-419f-8d6c-e004b006daae_SetDate">
    <vt:lpwstr>2021-04-14T17:55:01Z</vt:lpwstr>
  </property>
  <property fmtid="{D5CDD505-2E9C-101B-9397-08002B2CF9AE}" pid="5" name="MSIP_Label_70cb32a6-42be-419f-8d6c-e004b006daae_Method">
    <vt:lpwstr>Standard</vt:lpwstr>
  </property>
  <property fmtid="{D5CDD505-2E9C-101B-9397-08002B2CF9AE}" pid="6" name="MSIP_Label_70cb32a6-42be-419f-8d6c-e004b006daae_Name">
    <vt:lpwstr>70cb32a6-42be-419f-8d6c-e004b006daae</vt:lpwstr>
  </property>
  <property fmtid="{D5CDD505-2E9C-101B-9397-08002B2CF9AE}" pid="7" name="MSIP_Label_70cb32a6-42be-419f-8d6c-e004b006daae_SiteId">
    <vt:lpwstr>0cb501d9-65f6-43a5-85cf-0058bde67d53</vt:lpwstr>
  </property>
  <property fmtid="{D5CDD505-2E9C-101B-9397-08002B2CF9AE}" pid="8" name="MSIP_Label_70cb32a6-42be-419f-8d6c-e004b006daae_ActionId">
    <vt:lpwstr>6060da45-4782-4d7b-af0b-179dca82377a</vt:lpwstr>
  </property>
  <property fmtid="{D5CDD505-2E9C-101B-9397-08002B2CF9AE}" pid="9" name="MSIP_Label_70cb32a6-42be-419f-8d6c-e004b006daae_ContentBits">
    <vt:lpwstr>0</vt:lpwstr>
  </property>
</Properties>
</file>