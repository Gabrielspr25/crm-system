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claropr-my.sharepoint.com/personal/ur31386_claropr_com/Documents/Mercadeo Masivo-PYMES/Boletines Corp- Pymes/Boletines tarifas/"/>
    </mc:Choice>
  </mc:AlternateContent>
  <xr:revisionPtr revIDLastSave="21" documentId="8_{A3FCE832-2A55-48F6-AFD0-F86153CA2174}" xr6:coauthVersionLast="47" xr6:coauthVersionMax="47" xr10:uidLastSave="{CCAD695C-BC9B-4E9A-A743-B4E45FF27A8B}"/>
  <bookViews>
    <workbookView xWindow="-120" yWindow="-120" windowWidth="20730" windowHeight="10545" tabRatio="530" xr2:uid="{00000000-000D-0000-FFFF-FFFF00000000}"/>
  </bookViews>
  <sheets>
    <sheet name="Ofertas con desc plan $35-$85" sheetId="30" r:id="rId1"/>
    <sheet name="Ofertas Equipos en Portafolio" sheetId="20" r:id="rId2"/>
    <sheet name="Ofertas Equipos en Li" sheetId="31" state="hidden" r:id="rId3"/>
    <sheet name="Ofertas Planes y Bonos" sheetId="21" r:id="rId4"/>
    <sheet name="Planes de Lista" sheetId="23" r:id="rId5"/>
    <sheet name="PLANES PROMOCIONALES" sheetId="24" state="hidden" r:id="rId6"/>
  </sheets>
  <externalReferences>
    <externalReference r:id="rId7"/>
  </externalReferences>
  <definedNames>
    <definedName name="_xlnm._FilterDatabase" localSheetId="0" hidden="1">'Ofertas con desc plan $35-$85'!#REF!</definedName>
    <definedName name="_xlnm._FilterDatabase" localSheetId="2" hidden="1">'Ofertas Equipos en Li'!$C$3:$C$49</definedName>
    <definedName name="_xlnm._FilterDatabase" localSheetId="1" hidden="1">'[1]Ofertas Equipos en Portafolio'!$D$3:$D$3</definedName>
    <definedName name="_xlnm.Print_Area" localSheetId="0">'Ofertas con desc plan $35-$85'!$A$4:$M$30</definedName>
    <definedName name="_xlnm.Print_Area" localSheetId="2">'Ofertas Equipos en Li'!$A$1:$E$44</definedName>
    <definedName name="_xlnm.Print_Area" localSheetId="1">'Ofertas Equipos en Portafolio'!#REF!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30" i="30" l="1"/>
  <c r="V30" i="30"/>
  <c r="M30" i="30"/>
  <c r="J30" i="30"/>
  <c r="L30" i="30" s="1"/>
  <c r="D30" i="30"/>
  <c r="F30" i="30" s="1"/>
  <c r="M29" i="30"/>
  <c r="L29" i="30"/>
  <c r="J29" i="30"/>
  <c r="K29" i="30" s="1"/>
  <c r="F29" i="30"/>
  <c r="D29" i="30"/>
  <c r="E29" i="30" s="1"/>
  <c r="M28" i="30"/>
  <c r="L28" i="30"/>
  <c r="K28" i="30"/>
  <c r="J28" i="30"/>
  <c r="F28" i="30"/>
  <c r="E28" i="30"/>
  <c r="D28" i="30"/>
  <c r="J27" i="30"/>
  <c r="L27" i="30" s="1"/>
  <c r="D27" i="30"/>
  <c r="F27" i="30" s="1"/>
  <c r="J26" i="30"/>
  <c r="M26" i="30" s="1"/>
  <c r="F26" i="30"/>
  <c r="D26" i="30"/>
  <c r="E26" i="30" s="1"/>
  <c r="J25" i="30"/>
  <c r="M25" i="30" s="1"/>
  <c r="F25" i="30"/>
  <c r="E25" i="30"/>
  <c r="D25" i="30"/>
  <c r="L24" i="30"/>
  <c r="J24" i="30"/>
  <c r="M24" i="30" s="1"/>
  <c r="D24" i="30"/>
  <c r="F24" i="30" s="1"/>
  <c r="L23" i="30"/>
  <c r="K23" i="30"/>
  <c r="J23" i="30"/>
  <c r="M23" i="30" s="1"/>
  <c r="D23" i="30"/>
  <c r="E23" i="30" s="1"/>
  <c r="M22" i="30"/>
  <c r="J22" i="30"/>
  <c r="L22" i="30" s="1"/>
  <c r="D22" i="30"/>
  <c r="F22" i="30" s="1"/>
  <c r="W20" i="30"/>
  <c r="V20" i="30"/>
  <c r="M20" i="30"/>
  <c r="J20" i="30"/>
  <c r="L20" i="30" s="1"/>
  <c r="D20" i="30"/>
  <c r="F20" i="30" s="1"/>
  <c r="W19" i="30"/>
  <c r="V19" i="30"/>
  <c r="L19" i="30"/>
  <c r="K19" i="30"/>
  <c r="J19" i="30"/>
  <c r="M19" i="30" s="1"/>
  <c r="D19" i="30"/>
  <c r="E19" i="30" s="1"/>
  <c r="F18" i="30"/>
  <c r="D18" i="30"/>
  <c r="E18" i="30" s="1"/>
  <c r="W17" i="30"/>
  <c r="V17" i="30"/>
  <c r="M17" i="30"/>
  <c r="L17" i="30"/>
  <c r="K17" i="30"/>
  <c r="J17" i="30"/>
  <c r="D17" i="30"/>
  <c r="F17" i="30" s="1"/>
  <c r="J15" i="30"/>
  <c r="M15" i="30" s="1"/>
  <c r="F15" i="30"/>
  <c r="E15" i="30"/>
  <c r="D15" i="30"/>
  <c r="L14" i="30"/>
  <c r="J14" i="30"/>
  <c r="M14" i="30" s="1"/>
  <c r="D14" i="30"/>
  <c r="F14" i="30" s="1"/>
  <c r="L13" i="30"/>
  <c r="K13" i="30"/>
  <c r="J13" i="30"/>
  <c r="M13" i="30" s="1"/>
  <c r="D13" i="30"/>
  <c r="E13" i="30" s="1"/>
  <c r="L12" i="30"/>
  <c r="J12" i="30"/>
  <c r="K12" i="30" s="1"/>
  <c r="F12" i="30"/>
  <c r="D12" i="30"/>
  <c r="E12" i="30" s="1"/>
  <c r="D11" i="30"/>
  <c r="F11" i="30" s="1"/>
  <c r="D10" i="30"/>
  <c r="F10" i="30" s="1"/>
  <c r="D8" i="30"/>
  <c r="F8" i="30" s="1"/>
  <c r="E11" i="30" l="1"/>
  <c r="E14" i="30"/>
  <c r="E24" i="30"/>
  <c r="K26" i="30"/>
  <c r="E8" i="30"/>
  <c r="F13" i="30"/>
  <c r="K15" i="30"/>
  <c r="F19" i="30"/>
  <c r="E20" i="30"/>
  <c r="E22" i="30"/>
  <c r="F23" i="30"/>
  <c r="K25" i="30"/>
  <c r="L26" i="30"/>
  <c r="M27" i="30"/>
  <c r="E30" i="30"/>
  <c r="K14" i="30"/>
  <c r="L15" i="30"/>
  <c r="K24" i="30"/>
  <c r="L25" i="30"/>
  <c r="K30" i="30"/>
  <c r="K27" i="30"/>
  <c r="E10" i="30"/>
  <c r="E17" i="30"/>
  <c r="K20" i="30"/>
  <c r="K22" i="30"/>
  <c r="E27" i="30"/>
</calcChain>
</file>

<file path=xl/sharedStrings.xml><?xml version="1.0" encoding="utf-8"?>
<sst xmlns="http://schemas.openxmlformats.org/spreadsheetml/2006/main" count="487" uniqueCount="285">
  <si>
    <t>OFERTAS DE EQUIPOS</t>
  </si>
  <si>
    <t>OFERTA</t>
  </si>
  <si>
    <t>PLANES QUE APLICAN</t>
  </si>
  <si>
    <t>EQUIPOS QUE APLICAN
(Si alguno)</t>
  </si>
  <si>
    <t>Account types que aplican</t>
  </si>
  <si>
    <t>RESUMEN TERMINOS Y CONDICIONES</t>
  </si>
  <si>
    <t>EQUIPOS QUE APLICAN</t>
  </si>
  <si>
    <t>OFERTAS DE PLANES Y SERVICIOS ESPECIALES</t>
  </si>
  <si>
    <t>CODIGO</t>
  </si>
  <si>
    <t>- Aplica con todas las ofertas vigentes de equipos.</t>
  </si>
  <si>
    <t>Planes Scarlet</t>
  </si>
  <si>
    <t>- Aplica las ofertas vigentes de equipos dependiendo del plan requerido.</t>
  </si>
  <si>
    <t>CLARO25=</t>
  </si>
  <si>
    <t>BONOS QUE APLICAN DE ACUERDO A LA REGLA DE CADA UNO</t>
  </si>
  <si>
    <t>RESUMEN TÉRMINOS Y CONDICIONES</t>
  </si>
  <si>
    <r>
      <rPr>
        <b/>
        <sz val="48"/>
        <color rgb="FFFF0000"/>
        <rFont val="Calibri"/>
        <family val="2"/>
        <scheme val="minor"/>
      </rPr>
      <t xml:space="preserve">CANAL DIRECTO: </t>
    </r>
    <r>
      <rPr>
        <b/>
        <sz val="48"/>
        <color theme="1"/>
        <rFont val="Calibri"/>
        <family val="2"/>
        <scheme val="minor"/>
      </rPr>
      <t xml:space="preserve"> Activar la oferta solo a clientes que cumplen con todos los términos y condiciones. Favor referirse al documento:  
Complimiento con Legales y Terminos y Condiciones COM: LIH - 2020 - 826</t>
    </r>
  </si>
  <si>
    <r>
      <rPr>
        <b/>
        <sz val="48"/>
        <color rgb="FFFF0000"/>
        <rFont val="Calibri"/>
        <family val="2"/>
        <scheme val="minor"/>
      </rPr>
      <t xml:space="preserve">CANAL INDIRECTO - AGENTES: </t>
    </r>
    <r>
      <rPr>
        <b/>
        <sz val="48"/>
        <color theme="1"/>
        <rFont val="Calibri"/>
        <family val="2"/>
        <scheme val="minor"/>
      </rPr>
      <t xml:space="preserve"> Activar la oferta solo a clientes que cumplen con todos los términos y condiciones. Favor referirse al documento:  
Boletín B-VI-2020-001 Escenarios de Facturación al Agente por NO cumplir con los procesos establecidos.</t>
    </r>
  </si>
  <si>
    <t xml:space="preserve">Ver boletín de términos y condiciones para más detalles e información de los procesos. 
* Equipos en liquidación.  El inventario de estos equipos es limitado, así que la oferta aplica para aquellos canales de ventas donde haya inventario disponible. </t>
  </si>
  <si>
    <t xml:space="preserve">Ver boletín de términos y condiciones para más detalles e información de los procesos. </t>
  </si>
  <si>
    <t xml:space="preserve">PYMES
</t>
  </si>
  <si>
    <t>PYMES</t>
  </si>
  <si>
    <t>Planes desde $60</t>
  </si>
  <si>
    <t>Codigo</t>
  </si>
  <si>
    <t>Renta Mensual</t>
  </si>
  <si>
    <t>PLANES NACIONALES INDIVIDUALES</t>
  </si>
  <si>
    <t>COMENTARIOS</t>
  </si>
  <si>
    <t>CLARO SIN FRONTERAS</t>
  </si>
  <si>
    <t>Renta</t>
  </si>
  <si>
    <t>PLANES NACIONALES FAMILIARES</t>
  </si>
  <si>
    <t>VOLT5039</t>
  </si>
  <si>
    <r>
      <t xml:space="preserve">Voz local ilimitada,SMS/MMS en PR, a US y a ciertos destinos INT, SMS/MMS roaming en USA, LD ilimitado a USA, </t>
    </r>
    <r>
      <rPr>
        <sz val="11"/>
        <color rgb="FFC00000"/>
        <rFont val="Calibri"/>
        <family val="2"/>
        <scheme val="minor"/>
      </rPr>
      <t xml:space="preserve">100 minutos para Larga distancia a destinos internacionales, </t>
    </r>
    <r>
      <rPr>
        <sz val="11"/>
        <color theme="1"/>
        <rFont val="Calibri"/>
        <family val="2"/>
        <scheme val="minor"/>
      </rPr>
      <t>Roaming ilimitado en USA y data ilimitada en PR &amp; USA con</t>
    </r>
    <r>
      <rPr>
        <b/>
        <sz val="11"/>
        <color theme="1"/>
        <rFont val="Calibri"/>
        <family val="2"/>
        <scheme val="minor"/>
      </rPr>
      <t xml:space="preserve"> PUJ de </t>
    </r>
    <r>
      <rPr>
        <b/>
        <sz val="11"/>
        <color rgb="FFFF0000"/>
        <rFont val="Calibri"/>
        <family val="2"/>
        <scheme val="minor"/>
      </rPr>
      <t>50GB</t>
    </r>
  </si>
  <si>
    <t>Precio Regular Nuevo</t>
  </si>
  <si>
    <t>VOLT412</t>
  </si>
  <si>
    <r>
      <t xml:space="preserve">Equipo </t>
    </r>
    <r>
      <rPr>
        <b/>
        <sz val="26"/>
        <color rgb="FFFF0000"/>
        <rFont val="Calibri"/>
        <family val="2"/>
        <scheme val="minor"/>
      </rPr>
      <t>GRATIS</t>
    </r>
    <r>
      <rPr>
        <b/>
        <sz val="26"/>
        <color theme="1"/>
        <rFont val="Calibri"/>
        <family val="2"/>
        <scheme val="minor"/>
      </rPr>
      <t xml:space="preserve">
</t>
    </r>
    <r>
      <rPr>
        <b/>
        <sz val="26"/>
        <color rgb="FF00B050"/>
        <rFont val="Calibri"/>
        <family val="2"/>
        <scheme val="minor"/>
      </rPr>
      <t>NO REQUIERE TRADE IN</t>
    </r>
    <r>
      <rPr>
        <b/>
        <sz val="26"/>
        <color theme="1"/>
        <rFont val="Calibri"/>
        <family val="2"/>
        <scheme val="minor"/>
      </rPr>
      <t xml:space="preserve">
</t>
    </r>
    <r>
      <rPr>
        <b/>
        <sz val="26"/>
        <color rgb="FF0070C0"/>
        <rFont val="Calibri"/>
        <family val="2"/>
        <scheme val="minor"/>
      </rPr>
      <t>CLIENTE NUEVO, PORTABILIDADES Y RENOVACIONES</t>
    </r>
    <r>
      <rPr>
        <b/>
        <sz val="26"/>
        <color theme="1"/>
        <rFont val="Calibri"/>
        <family val="2"/>
        <scheme val="minor"/>
      </rPr>
      <t xml:space="preserve">
SOLO 30 PLAZOS</t>
    </r>
  </si>
  <si>
    <t>Bono streaming</t>
  </si>
  <si>
    <t>REDBAS</t>
  </si>
  <si>
    <t>VOLCSF50</t>
  </si>
  <si>
    <t>VOLCSF60</t>
  </si>
  <si>
    <t>VOLCSF70</t>
  </si>
  <si>
    <t>-Business Credit Limit
-Business Corporate
-Business Regular</t>
  </si>
  <si>
    <r>
      <t xml:space="preserve">Equipos </t>
    </r>
    <r>
      <rPr>
        <b/>
        <sz val="26"/>
        <color rgb="FFFF0000"/>
        <rFont val="Calibri"/>
        <family val="2"/>
        <scheme val="minor"/>
      </rPr>
      <t>GRATIS</t>
    </r>
    <r>
      <rPr>
        <b/>
        <sz val="26"/>
        <color theme="1"/>
        <rFont val="Calibri"/>
        <family val="2"/>
        <scheme val="minor"/>
      </rPr>
      <t xml:space="preserve">
</t>
    </r>
    <r>
      <rPr>
        <b/>
        <sz val="26"/>
        <color rgb="FF00B050"/>
        <rFont val="Calibri"/>
        <family val="2"/>
        <scheme val="minor"/>
      </rPr>
      <t>NO REQUIERE TRADE IN</t>
    </r>
    <r>
      <rPr>
        <b/>
        <sz val="26"/>
        <color theme="1"/>
        <rFont val="Calibri"/>
        <family val="2"/>
        <scheme val="minor"/>
      </rPr>
      <t xml:space="preserve">
CLIENTE NUEVO, PORTABILIDADES Y RENOVACIONES</t>
    </r>
  </si>
  <si>
    <t xml:space="preserve"> -  Aplica a todas las ofertas vigentes de equipos, excepto  para los equipo gratis.  Ver detalles en el tab Oferta Equipos.                         -Aplica a equipos en precio regular.</t>
  </si>
  <si>
    <r>
      <t xml:space="preserve">
</t>
    </r>
    <r>
      <rPr>
        <b/>
        <sz val="26"/>
        <color rgb="FFFF0000"/>
        <rFont val="Calibri"/>
        <family val="2"/>
        <scheme val="minor"/>
      </rPr>
      <t xml:space="preserve">
Equipo GRATIS
</t>
    </r>
    <r>
      <rPr>
        <b/>
        <sz val="26"/>
        <color theme="1"/>
        <rFont val="Calibri"/>
        <family val="2"/>
        <scheme val="minor"/>
      </rPr>
      <t xml:space="preserve">
</t>
    </r>
    <r>
      <rPr>
        <b/>
        <sz val="26"/>
        <color rgb="FF00B050"/>
        <rFont val="Calibri"/>
        <family val="2"/>
        <scheme val="minor"/>
      </rPr>
      <t>NO REQUIERE TRADE IN</t>
    </r>
    <r>
      <rPr>
        <b/>
        <sz val="26"/>
        <color theme="1"/>
        <rFont val="Calibri"/>
        <family val="2"/>
        <scheme val="minor"/>
      </rPr>
      <t xml:space="preserve">
</t>
    </r>
    <r>
      <rPr>
        <b/>
        <sz val="26"/>
        <color rgb="FF0070C0"/>
        <rFont val="Calibri"/>
        <family val="2"/>
        <scheme val="minor"/>
      </rPr>
      <t>CLIENTE NUEVO, PORTABILIDADES Y RENOVACIONES</t>
    </r>
    <r>
      <rPr>
        <b/>
        <sz val="26"/>
        <color theme="1"/>
        <rFont val="Calibri"/>
        <family val="2"/>
        <scheme val="minor"/>
      </rPr>
      <t xml:space="preserve">
SOLO 30 PLAZOS</t>
    </r>
  </si>
  <si>
    <t>Manufacturero</t>
  </si>
  <si>
    <t>Modelo</t>
  </si>
  <si>
    <t>Precio Regular</t>
  </si>
  <si>
    <t>Pago a 24 meses</t>
  </si>
  <si>
    <t>Pago a 30 meses</t>
  </si>
  <si>
    <t>Pago a 36 meses</t>
  </si>
  <si>
    <t>Samsung</t>
  </si>
  <si>
    <t xml:space="preserve">Samsung </t>
  </si>
  <si>
    <t>Motorola</t>
  </si>
  <si>
    <t>Apple</t>
  </si>
  <si>
    <t>Plan de $50</t>
  </si>
  <si>
    <r>
      <rPr>
        <b/>
        <sz val="26"/>
        <color rgb="FFFF0000"/>
        <rFont val="Calibri"/>
        <family val="2"/>
        <scheme val="minor"/>
      </rPr>
      <t xml:space="preserve"> - Aplica</t>
    </r>
    <r>
      <rPr>
        <b/>
        <sz val="26"/>
        <color theme="1"/>
        <rFont val="Calibri"/>
        <family val="2"/>
        <scheme val="minor"/>
      </rPr>
      <t xml:space="preserve">  - Bono de Streaming.</t>
    </r>
  </si>
  <si>
    <r>
      <t xml:space="preserve"> - </t>
    </r>
    <r>
      <rPr>
        <b/>
        <sz val="26"/>
        <color rgb="FFFF0000"/>
        <rFont val="Calibri"/>
        <family val="2"/>
        <scheme val="minor"/>
      </rPr>
      <t xml:space="preserve">Aplica </t>
    </r>
    <r>
      <rPr>
        <b/>
        <sz val="26"/>
        <color theme="1"/>
        <rFont val="Calibri"/>
        <family val="2"/>
        <scheme val="minor"/>
      </rPr>
      <t xml:space="preserve"> - Bono de Streaming.</t>
    </r>
  </si>
  <si>
    <r>
      <t xml:space="preserve"> - </t>
    </r>
    <r>
      <rPr>
        <b/>
        <sz val="26"/>
        <color rgb="FFFF0000"/>
        <rFont val="Calibri"/>
        <family val="2"/>
        <scheme val="minor"/>
      </rPr>
      <t>Aplica</t>
    </r>
    <r>
      <rPr>
        <b/>
        <sz val="26"/>
        <rFont val="Calibri"/>
        <family val="2"/>
        <scheme val="minor"/>
      </rPr>
      <t xml:space="preserve">  - Bono de Streaming</t>
    </r>
  </si>
  <si>
    <t>Samaung</t>
  </si>
  <si>
    <r>
      <t xml:space="preserve"> - </t>
    </r>
    <r>
      <rPr>
        <b/>
        <sz val="26"/>
        <color rgb="FFFF0000"/>
        <rFont val="Calibri"/>
        <family val="2"/>
        <scheme val="minor"/>
      </rPr>
      <t>Aplica</t>
    </r>
    <r>
      <rPr>
        <b/>
        <sz val="26"/>
        <color theme="1"/>
        <rFont val="Calibri"/>
        <family val="2"/>
        <scheme val="minor"/>
      </rPr>
      <t xml:space="preserve">  - Bono de Streaming.</t>
    </r>
  </si>
  <si>
    <t>OFERTAS DE EQUIPOS EN PORTAFOLIO DEL 15 AL 31 DE MAYO DE 2023
 FINANCIAMIENTO  - PYMES</t>
  </si>
  <si>
    <r>
      <rPr>
        <sz val="11"/>
        <rFont val="Calibri"/>
        <family val="2"/>
        <scheme val="minor"/>
      </rPr>
      <t>VOLTE -</t>
    </r>
    <r>
      <rPr>
        <sz val="11"/>
        <color rgb="FFFF0000"/>
        <rFont val="Calibri"/>
        <family val="2"/>
        <scheme val="minor"/>
      </rPr>
      <t xml:space="preserve"> 1000</t>
    </r>
    <r>
      <rPr>
        <sz val="11"/>
        <color theme="1"/>
        <rFont val="Calibri"/>
        <family val="2"/>
        <scheme val="minor"/>
      </rPr>
      <t xml:space="preserve"> MIN EN PR Y USA, 100 LD A USA, 900 SMS, 100 MMS, DATA PR Y USA </t>
    </r>
    <r>
      <rPr>
        <b/>
        <sz val="11"/>
        <color theme="1"/>
        <rFont val="Calibri"/>
        <family val="2"/>
        <scheme val="minor"/>
      </rPr>
      <t>PUJ</t>
    </r>
    <r>
      <rPr>
        <b/>
        <sz val="11"/>
        <color rgb="FFFF0000"/>
        <rFont val="Calibri"/>
        <family val="2"/>
        <scheme val="minor"/>
      </rPr>
      <t xml:space="preserve"> 4.5GB</t>
    </r>
  </si>
  <si>
    <r>
      <rPr>
        <sz val="14"/>
        <rFont val="Calibri"/>
        <family val="2"/>
      </rPr>
      <t xml:space="preserve">VOLTE- </t>
    </r>
    <r>
      <rPr>
        <sz val="14"/>
        <rFont val="Calibri"/>
        <family val="2"/>
        <scheme val="minor"/>
      </rPr>
      <t xml:space="preserve"> </t>
    </r>
    <r>
      <rPr>
        <sz val="14"/>
        <color theme="1"/>
        <rFont val="Calibri"/>
        <family val="2"/>
        <scheme val="minor"/>
      </rPr>
      <t xml:space="preserve">Voz local ilimitada, SMS/MMS en PR, a US, </t>
    </r>
    <r>
      <rPr>
        <sz val="14"/>
        <color rgb="FFFF0000"/>
        <rFont val="Calibri"/>
        <family val="2"/>
      </rPr>
      <t>Mejico, Canada</t>
    </r>
    <r>
      <rPr>
        <sz val="14"/>
        <color theme="1"/>
        <rFont val="Calibri"/>
        <family val="2"/>
        <scheme val="minor"/>
      </rPr>
      <t xml:space="preserve"> y a ciertos destinos INT, SMS/MMS roaming en USA, </t>
    </r>
    <r>
      <rPr>
        <sz val="14"/>
        <color rgb="FFFF0000"/>
        <rFont val="Calibri"/>
        <family val="2"/>
      </rPr>
      <t>Mejico y Canada</t>
    </r>
    <r>
      <rPr>
        <sz val="14"/>
        <color theme="1"/>
        <rFont val="Calibri"/>
        <family val="2"/>
        <scheme val="minor"/>
      </rPr>
      <t xml:space="preserve">, LD ilimitado a USA, </t>
    </r>
    <r>
      <rPr>
        <sz val="14"/>
        <color rgb="FFFF0000"/>
        <rFont val="Calibri"/>
        <family val="2"/>
      </rPr>
      <t>Mejico y Canada,</t>
    </r>
    <r>
      <rPr>
        <sz val="14"/>
        <color theme="1"/>
        <rFont val="Calibri"/>
        <family val="2"/>
        <scheme val="minor"/>
      </rPr>
      <t xml:space="preserve"> Roaming ilimitado en USA,</t>
    </r>
    <r>
      <rPr>
        <sz val="14"/>
        <color rgb="FFFF0000"/>
        <rFont val="Calibri"/>
        <family val="2"/>
      </rPr>
      <t xml:space="preserve"> Mejico y Canada </t>
    </r>
    <r>
      <rPr>
        <sz val="14"/>
        <color theme="1"/>
        <rFont val="Calibri"/>
        <family val="2"/>
        <scheme val="minor"/>
      </rPr>
      <t xml:space="preserve">y Data ilimitada en PR, USA, </t>
    </r>
    <r>
      <rPr>
        <sz val="14"/>
        <color rgb="FFFF0000"/>
        <rFont val="Calibri"/>
        <family val="2"/>
      </rPr>
      <t>Mejico y Canada</t>
    </r>
    <r>
      <rPr>
        <sz val="14"/>
        <color theme="1"/>
        <rFont val="Calibri"/>
        <family val="2"/>
        <scheme val="minor"/>
      </rPr>
      <t xml:space="preserve"> </t>
    </r>
    <r>
      <rPr>
        <b/>
        <sz val="14"/>
        <color rgb="FF000000"/>
        <rFont val="Calibri"/>
        <family val="2"/>
      </rPr>
      <t>(sin reduccion)</t>
    </r>
    <r>
      <rPr>
        <sz val="14"/>
        <color theme="1"/>
        <rFont val="Calibri"/>
        <family val="2"/>
        <scheme val="minor"/>
      </rPr>
      <t xml:space="preserve"> </t>
    </r>
    <r>
      <rPr>
        <b/>
        <sz val="14"/>
        <color rgb="FFFF0000"/>
        <rFont val="Calibri"/>
        <family val="2"/>
      </rPr>
      <t>HOTSPOT 10GB</t>
    </r>
  </si>
  <si>
    <r>
      <t xml:space="preserve">VOLTE-Voz local, LD, RM,  SMS/MMS y Data ilimitada en PR,  en USA, México, Canadá, República Dominicana, Argentina,  Uruguay,  Paraguay,  Panamá, Guatemala,  Nicaragua,  Honduras, Costa Rica,  Perú,  Chile,  Colombia,  El Salvador,  Brasil y  Ecuador con </t>
    </r>
    <r>
      <rPr>
        <b/>
        <sz val="11"/>
        <color rgb="FFFF0000"/>
        <rFont val="Calibri"/>
        <family val="2"/>
      </rPr>
      <t>PUJ de 15GB.</t>
    </r>
    <r>
      <rPr>
        <sz val="11"/>
        <color rgb="FF3F3F3F"/>
        <rFont val="Calibri"/>
        <family val="2"/>
      </rPr>
      <t>/ HOT SPOT MISMOS 15GB (PR y US solamente, NO ROAMING INTERNACIONAL)</t>
    </r>
  </si>
  <si>
    <r>
      <t xml:space="preserve">VOLTE-Voz local, LD, RM,  SMS/MMS y Data ilimitada en PR,  en USA, México, Canadá, República Dominicana, Argentina,  Uruguay,  Paraguay,  Panamá, Guatemala,  Nicaragua,  Honduras, Costa Rica,  Perú,  Chile,  Colombia,  El Salvador,  Brasil y  Ecuador con </t>
    </r>
    <r>
      <rPr>
        <b/>
        <sz val="11"/>
        <color rgb="FFFF0000"/>
        <rFont val="Calibri"/>
        <family val="2"/>
      </rPr>
      <t>PUJ de 10GB.</t>
    </r>
    <r>
      <rPr>
        <sz val="11"/>
        <color rgb="FF3F3F3F"/>
        <rFont val="Calibri"/>
        <family val="2"/>
      </rPr>
      <t>/HOT SPOT MISMOS 10GB (PR y US solamente, NO ROAMING INTERNACIONAL)</t>
    </r>
  </si>
  <si>
    <r>
      <t xml:space="preserve">VOLTE-Voz local, LD, RM,  SMS/MMS y Data ilimitada en PR,  en USA, México, Canadá, República Dominicana, Argentina,  Uruguay,  Paraguay,  Panamá, Guatemala,  Nicaragua,  Honduras, Costa Rica,  Perú,  Chile,  Colombia,  El Salvador,  Brasil y  Ecuador con </t>
    </r>
    <r>
      <rPr>
        <b/>
        <sz val="11"/>
        <color rgb="FFFF0000"/>
        <rFont val="Calibri"/>
        <family val="2"/>
      </rPr>
      <t>PUJ de 5GB.</t>
    </r>
    <r>
      <rPr>
        <sz val="11"/>
        <color rgb="FF3F3F3F"/>
        <rFont val="Calibri"/>
        <family val="2"/>
      </rPr>
      <t>/HOT SPOT MISMOS 5GB (PR y US solamente, NO ROAMING INTERNACIONAL)</t>
    </r>
  </si>
  <si>
    <t>Se solicita al vendedor y debe ser enviada a  través del siguiente email  Servicio_BCC@claropr.com o por correo postal.</t>
  </si>
  <si>
    <t>10 LÍNEAS X $350</t>
  </si>
  <si>
    <r>
      <t xml:space="preserve">Voz local ilimitada, SMS/MMS en PR, a US, </t>
    </r>
    <r>
      <rPr>
        <sz val="11"/>
        <color rgb="FFFF0000"/>
        <rFont val="Calibri"/>
        <family val="2"/>
        <scheme val="minor"/>
      </rPr>
      <t>Méjico, Canadá</t>
    </r>
    <r>
      <rPr>
        <sz val="11"/>
        <color theme="1"/>
        <rFont val="Calibri"/>
        <family val="2"/>
        <scheme val="minor"/>
      </rPr>
      <t xml:space="preserve"> y a ciertos destinos INT, SMS/MMS roaming en USA, </t>
    </r>
    <r>
      <rPr>
        <sz val="11"/>
        <color rgb="FFFF0000"/>
        <rFont val="Calibri"/>
        <family val="2"/>
        <scheme val="minor"/>
      </rPr>
      <t>Méjico y Canadá</t>
    </r>
    <r>
      <rPr>
        <sz val="11"/>
        <color theme="1"/>
        <rFont val="Calibri"/>
        <family val="2"/>
        <scheme val="minor"/>
      </rPr>
      <t xml:space="preserve">, LD ilimitado a USA, </t>
    </r>
    <r>
      <rPr>
        <sz val="11"/>
        <color rgb="FFFF0000"/>
        <rFont val="Calibri"/>
        <family val="2"/>
        <scheme val="minor"/>
      </rPr>
      <t>Méjico y Canadá</t>
    </r>
    <r>
      <rPr>
        <sz val="11"/>
        <color theme="1"/>
        <rFont val="Calibri"/>
        <family val="2"/>
        <scheme val="minor"/>
      </rPr>
      <t xml:space="preserve">, Roaming ilimitado en USA, </t>
    </r>
    <r>
      <rPr>
        <sz val="11"/>
        <color rgb="FFFF0000"/>
        <rFont val="Calibri"/>
        <family val="2"/>
        <scheme val="minor"/>
      </rPr>
      <t>Méjico y Canadá</t>
    </r>
    <r>
      <rPr>
        <sz val="11"/>
        <color theme="1"/>
        <rFont val="Calibri"/>
        <family val="2"/>
        <scheme val="minor"/>
      </rPr>
      <t xml:space="preserve"> y Data ilimitada en PR, USA, </t>
    </r>
    <r>
      <rPr>
        <sz val="11"/>
        <color rgb="FFFF0000"/>
        <rFont val="Calibri"/>
        <family val="2"/>
        <scheme val="minor"/>
      </rPr>
      <t>Méjico y Canadá</t>
    </r>
    <r>
      <rPr>
        <sz val="11"/>
        <color theme="1"/>
        <rFont val="Calibri"/>
        <family val="2"/>
        <scheme val="minor"/>
      </rPr>
      <t xml:space="preserve"> </t>
    </r>
    <r>
      <rPr>
        <b/>
        <sz val="11"/>
        <color theme="1"/>
        <rFont val="Calibri"/>
        <family val="2"/>
        <scheme val="minor"/>
      </rPr>
      <t xml:space="preserve">(Sin Reducción) </t>
    </r>
    <r>
      <rPr>
        <sz val="11"/>
        <color theme="1"/>
        <rFont val="Calibri"/>
        <family val="2"/>
        <scheme val="minor"/>
      </rPr>
      <t xml:space="preserve">// </t>
    </r>
    <r>
      <rPr>
        <b/>
        <sz val="11"/>
        <color theme="1"/>
        <rFont val="Calibri"/>
        <family val="2"/>
        <scheme val="minor"/>
      </rPr>
      <t>PLAN MULTILÍNEAS HASTA 10 LINEAS (PERMITE MOVIL Y BANDA ANCHA)</t>
    </r>
    <r>
      <rPr>
        <sz val="11"/>
        <color theme="1"/>
        <rFont val="Calibri"/>
        <family val="2"/>
        <scheme val="minor"/>
      </rPr>
      <t xml:space="preserve">//  </t>
    </r>
    <r>
      <rPr>
        <b/>
        <sz val="11"/>
        <color rgb="FFFF0000"/>
        <rFont val="Calibri"/>
        <family val="2"/>
        <scheme val="minor"/>
      </rPr>
      <t>HOTSPOT 15GB</t>
    </r>
  </si>
  <si>
    <t>10 LÍNEAS X $400</t>
  </si>
  <si>
    <r>
      <t xml:space="preserve">Voz local ilimitada, SMS/MMS en PR, a US, </t>
    </r>
    <r>
      <rPr>
        <sz val="11"/>
        <color rgb="FFFF0000"/>
        <rFont val="Calibri"/>
        <family val="2"/>
        <scheme val="minor"/>
      </rPr>
      <t>Méjico, Canadá</t>
    </r>
    <r>
      <rPr>
        <sz val="11"/>
        <color theme="1"/>
        <rFont val="Calibri"/>
        <family val="2"/>
        <scheme val="minor"/>
      </rPr>
      <t xml:space="preserve"> y a ciertos destinos INT, SMS/MMS roaming en USA, </t>
    </r>
    <r>
      <rPr>
        <sz val="11"/>
        <color rgb="FFFF0000"/>
        <rFont val="Calibri"/>
        <family val="2"/>
        <scheme val="minor"/>
      </rPr>
      <t>Méjico y Canadá</t>
    </r>
    <r>
      <rPr>
        <sz val="11"/>
        <color theme="1"/>
        <rFont val="Calibri"/>
        <family val="2"/>
        <scheme val="minor"/>
      </rPr>
      <t xml:space="preserve">, LD ilimitado a USA, </t>
    </r>
    <r>
      <rPr>
        <sz val="11"/>
        <color rgb="FFFF0000"/>
        <rFont val="Calibri"/>
        <family val="2"/>
        <scheme val="minor"/>
      </rPr>
      <t>Méjico y Canadá</t>
    </r>
    <r>
      <rPr>
        <sz val="11"/>
        <color theme="1"/>
        <rFont val="Calibri"/>
        <family val="2"/>
        <scheme val="minor"/>
      </rPr>
      <t xml:space="preserve">, Roaming ilimitado en USA, </t>
    </r>
    <r>
      <rPr>
        <sz val="11"/>
        <color rgb="FFFF0000"/>
        <rFont val="Calibri"/>
        <family val="2"/>
        <scheme val="minor"/>
      </rPr>
      <t>Méjico y Canadá</t>
    </r>
    <r>
      <rPr>
        <sz val="11"/>
        <color theme="1"/>
        <rFont val="Calibri"/>
        <family val="2"/>
        <scheme val="minor"/>
      </rPr>
      <t xml:space="preserve"> y Data ilimitada en PR, USA, </t>
    </r>
    <r>
      <rPr>
        <sz val="11"/>
        <color rgb="FFFF0000"/>
        <rFont val="Calibri"/>
        <family val="2"/>
        <scheme val="minor"/>
      </rPr>
      <t>Méjico y Canadá</t>
    </r>
    <r>
      <rPr>
        <sz val="11"/>
        <color theme="1"/>
        <rFont val="Calibri"/>
        <family val="2"/>
        <scheme val="minor"/>
      </rPr>
      <t xml:space="preserve"> </t>
    </r>
    <r>
      <rPr>
        <b/>
        <sz val="11"/>
        <color theme="1"/>
        <rFont val="Calibri"/>
        <family val="2"/>
        <scheme val="minor"/>
      </rPr>
      <t>(Sin Reducción)</t>
    </r>
    <r>
      <rPr>
        <sz val="11"/>
        <color theme="1"/>
        <rFont val="Calibri"/>
        <family val="2"/>
        <scheme val="minor"/>
      </rPr>
      <t xml:space="preserve"> // </t>
    </r>
    <r>
      <rPr>
        <b/>
        <sz val="11"/>
        <color theme="1"/>
        <rFont val="Calibri"/>
        <family val="2"/>
        <scheme val="minor"/>
      </rPr>
      <t>PLAN MULTILÍNEAS HASTA 10 LINEAS (PERMITE MOVIL Y BANDA ANCHA)</t>
    </r>
    <r>
      <rPr>
        <sz val="11"/>
        <color theme="1"/>
        <rFont val="Calibri"/>
        <family val="2"/>
        <scheme val="minor"/>
      </rPr>
      <t xml:space="preserve">// </t>
    </r>
    <r>
      <rPr>
        <b/>
        <sz val="11"/>
        <color rgb="FFFF0000"/>
        <rFont val="Calibri"/>
        <family val="2"/>
        <scheme val="minor"/>
      </rPr>
      <t>HOTSPOT 50GB</t>
    </r>
  </si>
  <si>
    <t>10 LÍNEAS X $500</t>
  </si>
  <si>
    <t>VOLT820</t>
  </si>
  <si>
    <r>
      <rPr>
        <sz val="11"/>
        <rFont val="Calibri"/>
        <family val="2"/>
        <scheme val="minor"/>
      </rPr>
      <t xml:space="preserve">VOLTE - </t>
    </r>
    <r>
      <rPr>
        <sz val="11"/>
        <color theme="1"/>
        <rFont val="Calibri"/>
        <family val="2"/>
        <scheme val="minor"/>
      </rPr>
      <t xml:space="preserve">Voz local ilimitada,SMS/MMS en PR, a US y a ciertos destinos INT, SMS/MMS roaming en USA, LD ilimitado a USA, </t>
    </r>
    <r>
      <rPr>
        <sz val="11"/>
        <color rgb="FFC00000"/>
        <rFont val="Calibri"/>
        <family val="2"/>
        <scheme val="minor"/>
      </rPr>
      <t xml:space="preserve">100 minutos para Larga distancia a destinos internacionales, </t>
    </r>
    <r>
      <rPr>
        <sz val="11"/>
        <color theme="1"/>
        <rFont val="Calibri"/>
        <family val="2"/>
        <scheme val="minor"/>
      </rPr>
      <t xml:space="preserve">Roaming ilimitado en USA y data ilimitada en PR &amp; USA con </t>
    </r>
    <r>
      <rPr>
        <b/>
        <sz val="11"/>
        <color theme="1"/>
        <rFont val="Calibri"/>
        <family val="2"/>
        <scheme val="minor"/>
      </rPr>
      <t>PUJ de</t>
    </r>
    <r>
      <rPr>
        <b/>
        <sz val="11"/>
        <color rgb="FFFF0000"/>
        <rFont val="Calibri"/>
        <family val="2"/>
        <scheme val="minor"/>
      </rPr>
      <t xml:space="preserve"> 8GB</t>
    </r>
  </si>
  <si>
    <t>no aplica porque ya es gratis desde $35</t>
  </si>
  <si>
    <t>RED3535</t>
  </si>
  <si>
    <r>
      <t xml:space="preserve"> Voz local ilimitada, SMS/MMS en PR, a US, </t>
    </r>
    <r>
      <rPr>
        <sz val="11"/>
        <color rgb="FFFF0000"/>
        <rFont val="Calibri"/>
        <family val="2"/>
        <scheme val="minor"/>
      </rPr>
      <t>Mejico, Canada</t>
    </r>
    <r>
      <rPr>
        <sz val="11"/>
        <color theme="1"/>
        <rFont val="Calibri"/>
        <family val="2"/>
        <scheme val="minor"/>
      </rPr>
      <t xml:space="preserve"> y a ciertos destinos INT, SMS/MMS roaming en USA, </t>
    </r>
    <r>
      <rPr>
        <sz val="11"/>
        <color rgb="FFFF0000"/>
        <rFont val="Calibri"/>
        <family val="2"/>
        <scheme val="minor"/>
      </rPr>
      <t>Mejico y Canada</t>
    </r>
    <r>
      <rPr>
        <sz val="11"/>
        <color theme="1"/>
        <rFont val="Calibri"/>
        <family val="2"/>
        <scheme val="minor"/>
      </rPr>
      <t xml:space="preserve">, LD ilimitado a USA, </t>
    </r>
    <r>
      <rPr>
        <sz val="11"/>
        <color rgb="FFFF0000"/>
        <rFont val="Calibri"/>
        <family val="2"/>
        <scheme val="minor"/>
      </rPr>
      <t>Mejico y Canada,</t>
    </r>
    <r>
      <rPr>
        <sz val="11"/>
        <color theme="1"/>
        <rFont val="Calibri"/>
        <family val="2"/>
        <scheme val="minor"/>
      </rPr>
      <t xml:space="preserve"> Roaming ilimitado en USA,</t>
    </r>
    <r>
      <rPr>
        <sz val="11"/>
        <color rgb="FFFF0000"/>
        <rFont val="Calibri"/>
        <family val="2"/>
        <scheme val="minor"/>
      </rPr>
      <t xml:space="preserve"> Mejico y Canada </t>
    </r>
    <r>
      <rPr>
        <sz val="11"/>
        <color theme="1"/>
        <rFont val="Calibri"/>
        <family val="2"/>
        <scheme val="minor"/>
      </rPr>
      <t xml:space="preserve">y Data ilimitada en PR, USA, </t>
    </r>
    <r>
      <rPr>
        <sz val="11"/>
        <color rgb="FFFF0000"/>
        <rFont val="Calibri"/>
        <family val="2"/>
        <scheme val="minor"/>
      </rPr>
      <t>Mejico y Canada</t>
    </r>
    <r>
      <rPr>
        <sz val="11"/>
        <color theme="1"/>
        <rFont val="Calibri"/>
        <family val="2"/>
        <scheme val="minor"/>
      </rPr>
      <t xml:space="preserve"> con PUJ</t>
    </r>
    <r>
      <rPr>
        <sz val="11"/>
        <color rgb="FFFF0000"/>
        <rFont val="Calibri"/>
        <family val="2"/>
        <scheme val="minor"/>
      </rPr>
      <t xml:space="preserve"> 35GB</t>
    </r>
  </si>
  <si>
    <t>- Aplica a portabilidades, líneas nuevas y renovaciones. 
- Planes disponibles en Financiamiento.</t>
  </si>
  <si>
    <t>Plan de $35</t>
  </si>
  <si>
    <t>Planes desde $75</t>
  </si>
  <si>
    <t>Descuento $250</t>
  </si>
  <si>
    <t>Descuento $400</t>
  </si>
  <si>
    <t>Descuento $500</t>
  </si>
  <si>
    <r>
      <t xml:space="preserve">Planes desde </t>
    </r>
    <r>
      <rPr>
        <b/>
        <sz val="26"/>
        <color theme="1"/>
        <rFont val="Calibri"/>
        <family val="2"/>
        <scheme val="minor"/>
      </rPr>
      <t>$35</t>
    </r>
  </si>
  <si>
    <t>Ahora sólo aplica si el cliente es CONVERGENTE y se acoje a planes desde $35.</t>
  </si>
  <si>
    <t>Será aplicado por JOB automáticamente al cumplir con los requisitos del mismo.</t>
  </si>
  <si>
    <t>no aplica porque ya es gratis desde $50</t>
  </si>
  <si>
    <t>Planes desde $50</t>
  </si>
  <si>
    <r>
      <rPr>
        <b/>
        <sz val="22"/>
        <rFont val="Calibri"/>
        <family val="2"/>
        <scheme val="minor"/>
      </rPr>
      <t xml:space="preserve">
</t>
    </r>
    <r>
      <rPr>
        <b/>
        <sz val="22"/>
        <color rgb="FFFF0000"/>
        <rFont val="Calibri"/>
        <family val="2"/>
        <scheme val="minor"/>
      </rPr>
      <t xml:space="preserve">- Aplica a líneas nuevas a lineas nuevas con o sin portablidad y para clientes existentes aplica solo cuando añaden lineas nuevas, con o sin portablidad. 
</t>
    </r>
    <r>
      <rPr>
        <b/>
        <sz val="22"/>
        <rFont val="Calibri"/>
        <family val="2"/>
        <scheme val="minor"/>
      </rPr>
      <t>-  Todos los equipos gratis aplicarán también a todas las lineas de los planes Business RED desde la 1 hasta 10</t>
    </r>
    <r>
      <rPr>
        <sz val="22"/>
        <color theme="1"/>
        <rFont val="Calibri"/>
        <family val="2"/>
        <scheme val="minor"/>
      </rPr>
      <t xml:space="preserve">
</t>
    </r>
    <r>
      <rPr>
        <b/>
        <sz val="22"/>
        <rFont val="Calibri"/>
        <family val="2"/>
        <scheme val="minor"/>
      </rPr>
      <t xml:space="preserve">- Oferta solo aplica a 30 plazos en Financiamiento.
-Apilca Bono de Streaming  si el cliente es convergente, el pago de equipo  es a 30 plazos o mas y cumple con todos los rerquisitos del mismo    </t>
    </r>
    <r>
      <rPr>
        <b/>
        <sz val="22"/>
        <color rgb="FFFF0000"/>
        <rFont val="Calibri"/>
        <family val="2"/>
        <scheme val="minor"/>
      </rPr>
      <t xml:space="preserve">      </t>
    </r>
    <r>
      <rPr>
        <sz val="22"/>
        <color theme="1"/>
        <rFont val="Calibri"/>
        <family val="2"/>
        <scheme val="minor"/>
      </rPr>
      <t xml:space="preserve">                                                                                                                                                                                                        
 - Aunque los equipos estén en oferta, el cliente deberá pagar los taxes de todos los  equipos que adquiera, al momento de la activación.
- Aplican a Planes Claro Sin Fronteras.
</t>
    </r>
    <r>
      <rPr>
        <b/>
        <sz val="22"/>
        <color theme="1"/>
        <rFont val="Calibri"/>
        <family val="2"/>
        <scheme val="minor"/>
      </rPr>
      <t>- Los price codes a utilizar es:</t>
    </r>
    <r>
      <rPr>
        <b/>
        <sz val="22"/>
        <color rgb="FF0070C0"/>
        <rFont val="Calibri"/>
        <family val="2"/>
        <scheme val="minor"/>
      </rPr>
      <t xml:space="preserve">
Financiamiento- FIUP30</t>
    </r>
  </si>
  <si>
    <r>
      <rPr>
        <b/>
        <sz val="26"/>
        <color rgb="FFFF0000"/>
        <rFont val="Calibri"/>
        <family val="2"/>
        <scheme val="minor"/>
      </rPr>
      <t>¡Nuevo!</t>
    </r>
    <r>
      <rPr>
        <b/>
        <sz val="26"/>
        <rFont val="Calibri"/>
        <family val="2"/>
        <scheme val="minor"/>
      </rPr>
      <t xml:space="preserve"> </t>
    </r>
    <r>
      <rPr>
        <b/>
        <sz val="26"/>
        <color rgb="FFFF0000"/>
        <rFont val="Calibri"/>
        <family val="2"/>
        <scheme val="minor"/>
      </rPr>
      <t>Pago Balance de Equipo y accesorios en Portabilidad de hasta $800</t>
    </r>
  </si>
  <si>
    <t>Plan de $60, $75 y  $85</t>
  </si>
  <si>
    <t>Descuento $130</t>
  </si>
  <si>
    <t>Descuento $300</t>
  </si>
  <si>
    <t>NUEVOS DESCUENTOS!!! OFERTAS CON $130, $250,$300, $400 Y $500 DE DESCUENTO EN PLAN DE $35, $40, $50, $60, $75 y $85</t>
  </si>
  <si>
    <t>no aplica</t>
  </si>
  <si>
    <t>RED4560</t>
  </si>
  <si>
    <t>NUEVO PLAN</t>
  </si>
  <si>
    <r>
      <rPr>
        <b/>
        <sz val="26"/>
        <color rgb="FFFF0000"/>
        <rFont val="Calibri"/>
        <family val="2"/>
        <scheme val="minor"/>
      </rPr>
      <t xml:space="preserve"> -NO Aplica</t>
    </r>
    <r>
      <rPr>
        <b/>
        <sz val="26"/>
        <color theme="1"/>
        <rFont val="Calibri"/>
        <family val="2"/>
        <scheme val="minor"/>
      </rPr>
      <t xml:space="preserve">  - Bono de Streaming .
</t>
    </r>
  </si>
  <si>
    <t>BREDPLUS</t>
  </si>
  <si>
    <t>BREDEXT</t>
  </si>
  <si>
    <t xml:space="preserve">
 BREDSF</t>
  </si>
  <si>
    <t>BREDSUP</t>
  </si>
  <si>
    <t>NUEVO PLAN
Reemplaza REDPLUS</t>
  </si>
  <si>
    <t>NUEVO PLAN
Reemplaza EXTREME</t>
  </si>
  <si>
    <t>NUEVO PLAN
Reemplaza REDCSF</t>
  </si>
  <si>
    <t>BREDP1</t>
  </si>
  <si>
    <t>BREDE1</t>
  </si>
  <si>
    <t>BREDS1</t>
  </si>
  <si>
    <t>BREDSF1</t>
  </si>
  <si>
    <t>10 LÍNEAS X $550</t>
  </si>
  <si>
    <r>
      <rPr>
        <sz val="14"/>
        <rFont val="Calibri"/>
        <family val="2"/>
      </rPr>
      <t xml:space="preserve">VOLTE- </t>
    </r>
    <r>
      <rPr>
        <sz val="14"/>
        <color theme="1"/>
        <rFont val="Calibri"/>
        <family val="2"/>
        <scheme val="minor"/>
      </rPr>
      <t xml:space="preserve"> Voz local ilimitada, SMS/MMS en PR, a US, </t>
    </r>
    <r>
      <rPr>
        <sz val="14"/>
        <color rgb="FFFF0000"/>
        <rFont val="Calibri"/>
        <family val="2"/>
      </rPr>
      <t>Mejico, Canada</t>
    </r>
    <r>
      <rPr>
        <sz val="14"/>
        <color theme="1"/>
        <rFont val="Calibri"/>
        <family val="2"/>
        <scheme val="minor"/>
      </rPr>
      <t xml:space="preserve"> y a ciertos destinos INT, SMS/MMS roaming en USA, </t>
    </r>
    <r>
      <rPr>
        <sz val="14"/>
        <color rgb="FFFF0000"/>
        <rFont val="Calibri"/>
        <family val="2"/>
      </rPr>
      <t>Mejico y Canada</t>
    </r>
    <r>
      <rPr>
        <sz val="14"/>
        <color theme="1"/>
        <rFont val="Calibri"/>
        <family val="2"/>
        <scheme val="minor"/>
      </rPr>
      <t xml:space="preserve">, LD ilimitado a USA, </t>
    </r>
    <r>
      <rPr>
        <sz val="14"/>
        <color rgb="FFFF0000"/>
        <rFont val="Calibri"/>
        <family val="2"/>
      </rPr>
      <t>Mejico y Canada,</t>
    </r>
    <r>
      <rPr>
        <sz val="14"/>
        <color theme="1"/>
        <rFont val="Calibri"/>
        <family val="2"/>
        <scheme val="minor"/>
      </rPr>
      <t xml:space="preserve"> Roaming ilimitado en USA,</t>
    </r>
    <r>
      <rPr>
        <sz val="14"/>
        <color rgb="FFFF0000"/>
        <rFont val="Calibri"/>
        <family val="2"/>
      </rPr>
      <t xml:space="preserve"> Mejico y Canada </t>
    </r>
    <r>
      <rPr>
        <sz val="14"/>
        <color theme="1"/>
        <rFont val="Calibri"/>
        <family val="2"/>
        <scheme val="minor"/>
      </rPr>
      <t xml:space="preserve">y Data ilimitada en PR, USA, </t>
    </r>
    <r>
      <rPr>
        <sz val="14"/>
        <color rgb="FFFF0000"/>
        <rFont val="Calibri"/>
        <family val="2"/>
      </rPr>
      <t>Mejico y Canada</t>
    </r>
    <r>
      <rPr>
        <sz val="14"/>
        <color theme="1"/>
        <rFont val="Calibri"/>
        <family val="2"/>
        <scheme val="minor"/>
      </rPr>
      <t xml:space="preserve"> </t>
    </r>
    <r>
      <rPr>
        <b/>
        <sz val="14"/>
        <color rgb="FF000000"/>
        <rFont val="Calibri"/>
        <family val="2"/>
      </rPr>
      <t>(sin reduccion)</t>
    </r>
    <r>
      <rPr>
        <sz val="14"/>
        <color theme="1"/>
        <rFont val="Calibri"/>
        <family val="2"/>
        <scheme val="minor"/>
      </rPr>
      <t xml:space="preserve"> </t>
    </r>
    <r>
      <rPr>
        <b/>
        <sz val="14"/>
        <color rgb="FFFF0000"/>
        <rFont val="Calibri"/>
        <family val="2"/>
      </rPr>
      <t>HOTSPOT 15GB</t>
    </r>
    <r>
      <rPr>
        <sz val="14"/>
        <color theme="1"/>
        <rFont val="Calibri"/>
        <family val="2"/>
      </rPr>
      <t xml:space="preserve"> </t>
    </r>
    <r>
      <rPr>
        <b/>
        <sz val="14"/>
        <color theme="1"/>
        <rFont val="Calibri"/>
        <family val="2"/>
      </rPr>
      <t>//  (PERMITE MOVIL Y BANDA ANCHA)</t>
    </r>
  </si>
  <si>
    <r>
      <rPr>
        <sz val="14"/>
        <rFont val="Calibri"/>
        <family val="2"/>
      </rPr>
      <t>VOLTE</t>
    </r>
    <r>
      <rPr>
        <sz val="14"/>
        <rFont val="Calibri"/>
        <family val="2"/>
        <scheme val="minor"/>
      </rPr>
      <t xml:space="preserve"> </t>
    </r>
    <r>
      <rPr>
        <sz val="14"/>
        <color theme="1"/>
        <rFont val="Calibri"/>
        <family val="2"/>
        <scheme val="minor"/>
      </rPr>
      <t xml:space="preserve">-Voz local ilimitada, SMS/MMS en PR, a US, </t>
    </r>
    <r>
      <rPr>
        <sz val="14"/>
        <color rgb="FFFF0000"/>
        <rFont val="Calibri"/>
        <family val="2"/>
      </rPr>
      <t>Mejico, Canada</t>
    </r>
    <r>
      <rPr>
        <sz val="14"/>
        <color theme="1"/>
        <rFont val="Calibri"/>
        <family val="2"/>
        <scheme val="minor"/>
      </rPr>
      <t xml:space="preserve"> y a ciertos destinos INT, SMS/MMS roaming en USA, </t>
    </r>
    <r>
      <rPr>
        <sz val="14"/>
        <color rgb="FFFF0000"/>
        <rFont val="Calibri"/>
        <family val="2"/>
      </rPr>
      <t>Mejico y Canada</t>
    </r>
    <r>
      <rPr>
        <sz val="14"/>
        <color theme="1"/>
        <rFont val="Calibri"/>
        <family val="2"/>
        <scheme val="minor"/>
      </rPr>
      <t xml:space="preserve">, LD ilimitado a USA, </t>
    </r>
    <r>
      <rPr>
        <sz val="14"/>
        <color rgb="FFFF0000"/>
        <rFont val="Calibri"/>
        <family val="2"/>
      </rPr>
      <t>Mejico y Canada,</t>
    </r>
    <r>
      <rPr>
        <sz val="14"/>
        <color theme="1"/>
        <rFont val="Calibri"/>
        <family val="2"/>
        <scheme val="minor"/>
      </rPr>
      <t xml:space="preserve"> Roaming ilimitado en USA,</t>
    </r>
    <r>
      <rPr>
        <sz val="14"/>
        <color rgb="FFFF0000"/>
        <rFont val="Calibri"/>
        <family val="2"/>
      </rPr>
      <t xml:space="preserve"> Mejico y Canada </t>
    </r>
    <r>
      <rPr>
        <sz val="14"/>
        <color theme="1"/>
        <rFont val="Calibri"/>
        <family val="2"/>
        <scheme val="minor"/>
      </rPr>
      <t xml:space="preserve">y Data ilimitada en PR, USA, </t>
    </r>
    <r>
      <rPr>
        <sz val="14"/>
        <color rgb="FFFF0000"/>
        <rFont val="Calibri"/>
        <family val="2"/>
      </rPr>
      <t>Mejico y Canada</t>
    </r>
    <r>
      <rPr>
        <sz val="14"/>
        <color theme="1"/>
        <rFont val="Calibri"/>
        <family val="2"/>
        <scheme val="minor"/>
      </rPr>
      <t xml:space="preserve"> </t>
    </r>
    <r>
      <rPr>
        <b/>
        <sz val="14"/>
        <color rgb="FF000000"/>
        <rFont val="Calibri"/>
        <family val="2"/>
      </rPr>
      <t>(sin reduccion)</t>
    </r>
    <r>
      <rPr>
        <sz val="14"/>
        <color theme="1"/>
        <rFont val="Calibri"/>
        <family val="2"/>
        <scheme val="minor"/>
      </rPr>
      <t xml:space="preserve"> </t>
    </r>
    <r>
      <rPr>
        <b/>
        <sz val="14"/>
        <color rgb="FFFF0000"/>
        <rFont val="Calibri"/>
        <family val="2"/>
      </rPr>
      <t xml:space="preserve">HOTSPOT 50GB </t>
    </r>
    <r>
      <rPr>
        <b/>
        <sz val="14"/>
        <rFont val="Calibri"/>
        <family val="2"/>
      </rPr>
      <t>//  (PERMITE MOVIL Y BANDA ANCHA)</t>
    </r>
  </si>
  <si>
    <r>
      <rPr>
        <sz val="14"/>
        <rFont val="Calibri"/>
        <family val="2"/>
      </rPr>
      <t>VOLTE- Voz local, LD, RM,  SMS/MMS y Data ilimitada en PR,  en USA, México, Canadá, República Dominicana, Argentina,  Uruguay,  Paraguay,  Panamá, Guatemala,  Nicaragua,  Honduras, Costa Rica,  Perú,  Chile,  Colombia,  El Salvador,  Brasil y  Ecuador con</t>
    </r>
    <r>
      <rPr>
        <sz val="14"/>
        <color rgb="FF3F3F3F"/>
        <rFont val="Calibri"/>
        <family val="2"/>
      </rPr>
      <t xml:space="preserve"> </t>
    </r>
    <r>
      <rPr>
        <b/>
        <sz val="14"/>
        <color rgb="FFFF0000"/>
        <rFont val="Calibri"/>
        <family val="2"/>
      </rPr>
      <t>Data Ilimitada Sin reduccion de Velocidad con 100GB de Hotspot</t>
    </r>
    <r>
      <rPr>
        <sz val="14"/>
        <color rgb="FF3F3F3F"/>
        <rFont val="Calibri"/>
        <family val="2"/>
      </rPr>
      <t xml:space="preserve"> </t>
    </r>
    <r>
      <rPr>
        <b/>
        <sz val="14"/>
        <color rgb="FF3F3F3F"/>
        <rFont val="Calibri"/>
        <family val="2"/>
      </rPr>
      <t>//  (PERMITE MOVIL Y BANDA ANCHA)</t>
    </r>
  </si>
  <si>
    <t xml:space="preserve"> BREDSF</t>
  </si>
  <si>
    <t>NUEVO PLAN
Reemplaza BREDPVL</t>
  </si>
  <si>
    <t>NUEVO PLAN
Reemplaza BREDEXV</t>
  </si>
  <si>
    <t>NUEVO PLAN
Reemplaza BREDSPV</t>
  </si>
  <si>
    <r>
      <t xml:space="preserve">VOLTE- Voz local, LD, RM,  SMS/MMS y Data ilimitada en PR,  en USA, México, Canadá, República Dominicana, Argentina,  Uruguay,  Paraguay,  Panamá, Guatemala,  Nicaragua,  Honduras, Costa Rica,  Perú,  Chile,  Colombia,  El Salvador,  Brasil y  Ecuador con Data Ilimitada </t>
    </r>
    <r>
      <rPr>
        <b/>
        <sz val="11"/>
        <color theme="1"/>
        <rFont val="Calibri"/>
        <family val="2"/>
        <scheme val="minor"/>
      </rPr>
      <t>(Sin Reducción)</t>
    </r>
    <r>
      <rPr>
        <sz val="11"/>
        <color theme="1"/>
        <rFont val="Calibri"/>
        <family val="2"/>
        <scheme val="minor"/>
      </rPr>
      <t xml:space="preserve"> // </t>
    </r>
    <r>
      <rPr>
        <b/>
        <sz val="11"/>
        <color theme="1"/>
        <rFont val="Calibri"/>
        <family val="2"/>
        <scheme val="minor"/>
      </rPr>
      <t>PLAN MULTILÍNEAS HASTA 10 LINEAS (PERMITE MOVIL Y BANDA ANCHA)</t>
    </r>
    <r>
      <rPr>
        <sz val="11"/>
        <color theme="1"/>
        <rFont val="Calibri"/>
        <family val="2"/>
        <scheme val="minor"/>
      </rPr>
      <t xml:space="preserve">// </t>
    </r>
    <r>
      <rPr>
        <b/>
        <sz val="11"/>
        <color rgb="FFFF0000"/>
        <rFont val="Calibri"/>
        <family val="2"/>
        <scheme val="minor"/>
      </rPr>
      <t>HOTSPOT 100GB</t>
    </r>
  </si>
  <si>
    <r>
      <t xml:space="preserve"> Voz local ilimitada, SMS/MMS en PR, a US, </t>
    </r>
    <r>
      <rPr>
        <sz val="11"/>
        <color rgb="FFFF0000"/>
        <rFont val="Calibri"/>
        <family val="2"/>
        <scheme val="minor"/>
      </rPr>
      <t>Mejico, Canada</t>
    </r>
    <r>
      <rPr>
        <sz val="11"/>
        <color theme="1"/>
        <rFont val="Calibri"/>
        <family val="2"/>
        <scheme val="minor"/>
      </rPr>
      <t xml:space="preserve"> y a ciertos destinos INT, SMS/MMS roaming en USA, </t>
    </r>
    <r>
      <rPr>
        <sz val="11"/>
        <color rgb="FFFF0000"/>
        <rFont val="Calibri"/>
        <family val="2"/>
        <scheme val="minor"/>
      </rPr>
      <t>Mejico y Canada</t>
    </r>
    <r>
      <rPr>
        <sz val="11"/>
        <color theme="1"/>
        <rFont val="Calibri"/>
        <family val="2"/>
        <scheme val="minor"/>
      </rPr>
      <t xml:space="preserve">, LD ilimitado a USA, </t>
    </r>
    <r>
      <rPr>
        <sz val="11"/>
        <color rgb="FFFF0000"/>
        <rFont val="Calibri"/>
        <family val="2"/>
        <scheme val="minor"/>
      </rPr>
      <t>Mejico y Canada,</t>
    </r>
    <r>
      <rPr>
        <sz val="11"/>
        <color theme="1"/>
        <rFont val="Calibri"/>
        <family val="2"/>
        <scheme val="minor"/>
      </rPr>
      <t xml:space="preserve"> Roaming ilimitado en USA,</t>
    </r>
    <r>
      <rPr>
        <sz val="11"/>
        <color rgb="FFFF0000"/>
        <rFont val="Calibri"/>
        <family val="2"/>
        <scheme val="minor"/>
      </rPr>
      <t xml:space="preserve"> Mejico y Canada </t>
    </r>
    <r>
      <rPr>
        <sz val="11"/>
        <color theme="1"/>
        <rFont val="Calibri"/>
        <family val="2"/>
        <scheme val="minor"/>
      </rPr>
      <t xml:space="preserve">y Data ilimitada en PR, USA, </t>
    </r>
    <r>
      <rPr>
        <sz val="11"/>
        <color rgb="FFFF0000"/>
        <rFont val="Calibri"/>
        <family val="2"/>
        <scheme val="minor"/>
      </rPr>
      <t>Mejico y Canada</t>
    </r>
    <r>
      <rPr>
        <sz val="11"/>
        <color theme="1"/>
        <rFont val="Calibri"/>
        <family val="2"/>
        <scheme val="minor"/>
      </rPr>
      <t xml:space="preserve"> con PUJ de </t>
    </r>
    <r>
      <rPr>
        <sz val="11"/>
        <color rgb="FFFF0000"/>
        <rFont val="Calibri"/>
        <family val="2"/>
        <scheme val="minor"/>
      </rPr>
      <t>60GB</t>
    </r>
    <r>
      <rPr>
        <sz val="11"/>
        <color theme="1"/>
        <rFont val="Calibri"/>
        <family val="2"/>
        <scheme val="minor"/>
      </rPr>
      <t xml:space="preserve"> </t>
    </r>
  </si>
  <si>
    <r>
      <t xml:space="preserve">NUEVO!
</t>
    </r>
    <r>
      <rPr>
        <b/>
        <sz val="24"/>
        <color rgb="FFFF0000"/>
        <rFont val="Calibri"/>
        <family val="2"/>
        <scheme val="minor"/>
      </rPr>
      <t xml:space="preserve">50% de descuento
</t>
    </r>
    <r>
      <rPr>
        <b/>
        <sz val="24"/>
        <color rgb="FF00B050"/>
        <rFont val="Calibri"/>
        <family val="2"/>
        <scheme val="minor"/>
      </rPr>
      <t xml:space="preserve">NO REQUIERE TRADE IN SIN VALORIZACION
</t>
    </r>
    <r>
      <rPr>
        <b/>
        <sz val="24"/>
        <color rgb="FF0066FF"/>
        <rFont val="Calibri"/>
        <family val="2"/>
        <scheme val="minor"/>
      </rPr>
      <t xml:space="preserve">
LINEAS NUEVAS, PORTABILIDADES Y RENOVACIONES</t>
    </r>
    <r>
      <rPr>
        <b/>
        <sz val="24"/>
        <color rgb="FFFF0000"/>
        <rFont val="Calibri"/>
        <family val="2"/>
        <scheme val="minor"/>
      </rPr>
      <t xml:space="preserve">
SOLO A 30 PLAZOS</t>
    </r>
  </si>
  <si>
    <r>
      <rPr>
        <b/>
        <sz val="26"/>
        <rFont val="Calibri"/>
        <family val="2"/>
        <scheme val="minor"/>
      </rPr>
      <t>APLICA A LINEAS NUEVAS CON Y SIN PORTABILIDAD Y RENOVACIONES</t>
    </r>
    <r>
      <rPr>
        <sz val="26"/>
        <rFont val="Calibri"/>
        <family val="2"/>
        <scheme val="minor"/>
      </rPr>
      <t xml:space="preserve">
- No Requeire Trade-In. Aunque los equipos estén en oferta, el cliente deberá pagar los taxes de todos los equipos que adquiera,  al momento de la activación.
- E</t>
    </r>
    <r>
      <rPr>
        <b/>
        <sz val="26"/>
        <rFont val="Calibri"/>
        <family val="2"/>
        <scheme val="minor"/>
      </rPr>
      <t xml:space="preserve">STA Oferta aplica solo a 30 PLAZOS. Créditos se comienzan a ver a partir de la 2nda factura.
-Apilca Bono de Streaming  si el cliente es convergente, el pago de equipo  es a 30 plazos o mas y cumple con todos los rerquisitos del mismo    
</t>
    </r>
    <r>
      <rPr>
        <b/>
        <sz val="26"/>
        <color rgb="FFFF0000"/>
        <rFont val="Calibri"/>
        <family val="2"/>
        <scheme val="minor"/>
      </rPr>
      <t xml:space="preserve">-  Todos los equipos gratis aplicarán también a todas las lineas de los planes Business RED desde la 1 hasta 10
</t>
    </r>
    <r>
      <rPr>
        <b/>
        <sz val="26"/>
        <rFont val="Calibri"/>
        <family val="2"/>
        <scheme val="minor"/>
      </rPr>
      <t>-La oferta aplica en planes desde $50</t>
    </r>
    <r>
      <rPr>
        <sz val="26"/>
        <rFont val="Calibri"/>
        <family val="2"/>
        <scheme val="minor"/>
      </rPr>
      <t xml:space="preserve">
- Oferta valida en Financiamiento</t>
    </r>
    <r>
      <rPr>
        <b/>
        <sz val="26"/>
        <color rgb="FF0070C0"/>
        <rFont val="Calibri"/>
        <family val="2"/>
        <scheme val="minor"/>
      </rPr>
      <t xml:space="preserve">
Financiamiento- F50%30</t>
    </r>
  </si>
  <si>
    <t>Planes de $50 en adelante</t>
  </si>
  <si>
    <t xml:space="preserve">EQUIPOS QUE APLICAN </t>
  </si>
  <si>
    <r>
      <rPr>
        <b/>
        <sz val="26"/>
        <color rgb="FFFF0000"/>
        <rFont val="Calibri"/>
        <family val="2"/>
        <scheme val="minor"/>
      </rPr>
      <t>Equipos GRATIS</t>
    </r>
    <r>
      <rPr>
        <b/>
        <sz val="26"/>
        <rFont val="Calibri"/>
        <family val="2"/>
        <scheme val="minor"/>
      </rPr>
      <t xml:space="preserve">
</t>
    </r>
    <r>
      <rPr>
        <b/>
        <sz val="26"/>
        <color rgb="FF0070C0"/>
        <rFont val="Calibri"/>
        <family val="2"/>
        <scheme val="minor"/>
      </rPr>
      <t>CLIENTE NUEVO, PORTABILIDADES Y RENOVACIONES</t>
    </r>
  </si>
  <si>
    <t xml:space="preserve">Plan de $20 </t>
  </si>
  <si>
    <t xml:space="preserve">PCD U40* 
PCD PH4003*
Nokia 1.4*
</t>
  </si>
  <si>
    <r>
      <t xml:space="preserve">
</t>
    </r>
    <r>
      <rPr>
        <b/>
        <sz val="26"/>
        <color rgb="FFFF0000"/>
        <rFont val="Calibri"/>
        <family val="2"/>
        <scheme val="minor"/>
      </rPr>
      <t xml:space="preserve">Equipos con 20% Descuento
</t>
    </r>
    <r>
      <rPr>
        <b/>
        <sz val="26"/>
        <rFont val="Calibri"/>
        <family val="2"/>
        <scheme val="minor"/>
      </rPr>
      <t xml:space="preserve">
</t>
    </r>
    <r>
      <rPr>
        <b/>
        <sz val="26"/>
        <color rgb="FF0070C0"/>
        <rFont val="Calibri"/>
        <family val="2"/>
        <scheme val="minor"/>
      </rPr>
      <t>CLIENTE NUEVO, PORTABILIDADES Y RENOVACIONES</t>
    </r>
  </si>
  <si>
    <t>Samsung A12* $151.99 luego de 20% descuento (reg. $189.99)
Samsung A21s* $151.99 luego de 20% descuento (reg. $189.99)
Motorola G Stylus* $183.99 luego de 20% descuento (reg. $229.99)</t>
  </si>
  <si>
    <t>NUEVO Planes desde $45</t>
  </si>
  <si>
    <r>
      <t xml:space="preserve">
</t>
    </r>
    <r>
      <rPr>
        <b/>
        <sz val="28"/>
        <color rgb="FFFF0000"/>
        <rFont val="Calibri"/>
        <family val="2"/>
        <scheme val="minor"/>
      </rPr>
      <t>Equipos GRATIS</t>
    </r>
    <r>
      <rPr>
        <b/>
        <sz val="28"/>
        <color theme="1"/>
        <rFont val="Calibri"/>
        <family val="2"/>
        <scheme val="minor"/>
      </rPr>
      <t xml:space="preserve">
</t>
    </r>
    <r>
      <rPr>
        <b/>
        <sz val="28"/>
        <color rgb="FF0070C0"/>
        <rFont val="Calibri"/>
        <family val="2"/>
        <scheme val="minor"/>
      </rPr>
      <t xml:space="preserve">
CLIENTE NUEVO, PORTABILIDADES Y RENOVACIONES</t>
    </r>
  </si>
  <si>
    <t>NUEVO Planes desde $35</t>
  </si>
  <si>
    <r>
      <t xml:space="preserve">Verykool s5028*
LG K4 2017*
Samsung J7 Neo*
Sony Xperia XA*
Verykool SL5029 Pro Bolt*
Sony Xperia L1*
Motorola G5*
Samsung Galaxy J5*
Alcate; Go Play*
PCD PH3501*
'PCD PH4002*
Alcatel U3*
Avvio A400*
Azumi IRO A4Q*
Azumi IRO A5Q*
Motorola Moto C *
LG K9*
LG Qstylus*
AVVIO 362*
Samsung J4+*
</t>
    </r>
    <r>
      <rPr>
        <sz val="18"/>
        <rFont val="Calibri"/>
        <family val="2"/>
        <scheme val="minor"/>
      </rPr>
      <t>Nokia 2.1*</t>
    </r>
    <r>
      <rPr>
        <sz val="18"/>
        <color theme="1"/>
        <rFont val="Calibri"/>
        <family val="2"/>
        <scheme val="minor"/>
      </rPr>
      <t xml:space="preserve">
'Azumi A4*
LG K22*
Samsung J2 CORE*
LG K20*
MOTO E5 Play*
MOTO E*
LG K40*
Galaxy A20s*
LG K51*
LG Q60*     
Galaxy A21s*                                                                                                                                      
SAMSUNG GALAXY A8+*                                                                                                                          
IPHONE 7*  (TODAS LAS MEMORIAS)
IPHONE 7 PLUS*  (TODAS LAS MEMORIAS)
Motorola e7i Power*
Nokia 1.4*
SAMSUNG A02*     
Samsung A12*
MOTOROLA G 2022 5G*
MOTOROLA G STYLUS 2022 4.5G*
SAMSUNG GALAXY A04e*
Nokia G20*
Samsung A03*
PCD PH4003*
NOKIA G10*
ALCATEL TCL 20E*</t>
    </r>
  </si>
  <si>
    <r>
      <t>Sony Xperia X1 A Ultra*
Samsung A7 2017*
Samsung J7 Pro*
Motorola Zplay*
Sony Xperia X*
Samsung A20 *
Motorola G6 Plus* 
Galaxy A50* 
Motorola Z3 Play *
iPhone 6S PLUS 32GB *
SAMSUN GALAXY A70*</t>
    </r>
    <r>
      <rPr>
        <b/>
        <sz val="20"/>
        <color theme="1"/>
        <rFont val="Calibri"/>
        <family val="2"/>
        <scheme val="minor"/>
      </rPr>
      <t xml:space="preserve">
</t>
    </r>
    <r>
      <rPr>
        <sz val="20"/>
        <color theme="1"/>
        <rFont val="Calibri"/>
        <family val="2"/>
        <scheme val="minor"/>
      </rPr>
      <t xml:space="preserve">Motorola G7 Plus*
'Motorola G8 Plus*
Motorola G Power*
Galaxy A51*
LG </t>
    </r>
    <r>
      <rPr>
        <sz val="20"/>
        <rFont val="Calibri"/>
        <family val="2"/>
        <scheme val="minor"/>
      </rPr>
      <t xml:space="preserve">Stylo 6*
SAMSUNG GALAXY NOTE 9
</t>
    </r>
    <r>
      <rPr>
        <sz val="20"/>
        <color theme="1"/>
        <rFont val="Calibri"/>
        <family val="2"/>
        <scheme val="minor"/>
      </rPr>
      <t>Motorola G Stylus*
'Motorola G20*
Samsung A71 * 
SAMSUNG GALAXY S8*    
SAMSUNG GALAXY S8+*  
SAMSUNG GALAXY S9*   
SAMSUNG GALAXY S9+*   
IPHONE 8* (TODAS LAS MEMORIAS)  
IPHONE 8 PLUS* (TODAS LAS MEMORIAS
SAMSUNG GALAXY A13*</t>
    </r>
  </si>
  <si>
    <t>Galaxy Note 10 LITE*       
SAMSUNG GALAXY S10* 
SAMSUNG GALAXY S10+*   
SAMSUNG GALAXY NOTE 10*  
SAMSUNG GALAXY NOTE 10+      
IPHONE 11 PRO 256GB*                                                                                                                          
iPhonne 11 PRO MAX 64GB*
IPHONE 11 PRO MAX 256GB*</t>
  </si>
  <si>
    <r>
      <rPr>
        <b/>
        <sz val="26"/>
        <color rgb="FFFF0000"/>
        <rFont val="Calibri"/>
        <family val="2"/>
        <scheme val="minor"/>
      </rPr>
      <t>Equipo GRATIS</t>
    </r>
    <r>
      <rPr>
        <b/>
        <sz val="26"/>
        <color theme="1"/>
        <rFont val="Calibri"/>
        <family val="2"/>
        <scheme val="minor"/>
      </rPr>
      <t xml:space="preserve">
</t>
    </r>
    <r>
      <rPr>
        <b/>
        <sz val="26"/>
        <color rgb="FF00B050"/>
        <rFont val="Calibri"/>
        <family val="2"/>
        <scheme val="minor"/>
      </rPr>
      <t>NO REQUIERE TRADE IN</t>
    </r>
    <r>
      <rPr>
        <b/>
        <sz val="26"/>
        <color theme="1"/>
        <rFont val="Calibri"/>
        <family val="2"/>
        <scheme val="minor"/>
      </rPr>
      <t xml:space="preserve">
</t>
    </r>
    <r>
      <rPr>
        <b/>
        <sz val="26"/>
        <color rgb="FF0070C0"/>
        <rFont val="Calibri"/>
        <family val="2"/>
        <scheme val="minor"/>
      </rPr>
      <t>CLIENTE NUEVO, PORTABILIDADES Y RENOVACIONES</t>
    </r>
    <r>
      <rPr>
        <b/>
        <sz val="26"/>
        <color theme="1"/>
        <rFont val="Calibri"/>
        <family val="2"/>
        <scheme val="minor"/>
      </rPr>
      <t xml:space="preserve">
SOLO 30 PLAZOS</t>
    </r>
  </si>
  <si>
    <t xml:space="preserve">IPHONE 11 PRO MAX 64GB*
IPHONE SE 64GB* (Modelo No 5G)
IPHONE SE 128GB* (Modelo No 5G)
IPHONE 12 MINI 64GB*
PHONE XR 64GB*
iPhone XR 128GB*
iPhone XR 256GB*
IPHONE X 64GB*
IPHONE X 256GB*
iPhone XS 64GB y iPhone XS 256GB*
iPhone XS Max 64GB y iPhone XS Max 256GB*
</t>
  </si>
  <si>
    <r>
      <t xml:space="preserve">
</t>
    </r>
    <r>
      <rPr>
        <b/>
        <sz val="26"/>
        <color rgb="FFFF0000"/>
        <rFont val="Calibri"/>
        <family val="2"/>
        <scheme val="minor"/>
      </rPr>
      <t>Equipo GRATIS</t>
    </r>
    <r>
      <rPr>
        <b/>
        <sz val="26"/>
        <color theme="1"/>
        <rFont val="Calibri"/>
        <family val="2"/>
        <scheme val="minor"/>
      </rPr>
      <t xml:space="preserve">
</t>
    </r>
    <r>
      <rPr>
        <b/>
        <sz val="26"/>
        <color rgb="FF00B050"/>
        <rFont val="Calibri"/>
        <family val="2"/>
        <scheme val="minor"/>
      </rPr>
      <t>NO REQUIERE TRADE IN</t>
    </r>
    <r>
      <rPr>
        <b/>
        <sz val="26"/>
        <color theme="1"/>
        <rFont val="Calibri"/>
        <family val="2"/>
        <scheme val="minor"/>
      </rPr>
      <t xml:space="preserve">
</t>
    </r>
    <r>
      <rPr>
        <b/>
        <sz val="26"/>
        <color rgb="FF0070C0"/>
        <rFont val="Calibri"/>
        <family val="2"/>
        <scheme val="minor"/>
      </rPr>
      <t>CLIENTE NUEVO, PORTABILIDADES Y RENOVACIONES</t>
    </r>
    <r>
      <rPr>
        <b/>
        <sz val="26"/>
        <color theme="1"/>
        <rFont val="Calibri"/>
        <family val="2"/>
        <scheme val="minor"/>
      </rPr>
      <t xml:space="preserve">
SOLO 30 PLAZOS</t>
    </r>
  </si>
  <si>
    <r>
      <t>iPhone 13 Mini 128GB* 
iPHONE SE 64GB 5G*
SAMSUNG S20 FE*
MOTOROLA G STYLUS 2022 5G  (con Reloj)*
iPhone 11 128GB*
SAMSUNG GALAXY A52*
MOTOROLA G STYLUS 5G*
SAMSUNG GALAXY S21 FE*</t>
    </r>
    <r>
      <rPr>
        <sz val="30"/>
        <color rgb="FFFF0066"/>
        <rFont val="Calibri"/>
        <family val="2"/>
        <scheme val="minor"/>
      </rPr>
      <t xml:space="preserve">
</t>
    </r>
    <r>
      <rPr>
        <sz val="30"/>
        <rFont val="Calibri"/>
        <family val="2"/>
        <scheme val="minor"/>
      </rPr>
      <t xml:space="preserve">
                                                                                                                                 </t>
    </r>
  </si>
  <si>
    <r>
      <t xml:space="preserve">
</t>
    </r>
    <r>
      <rPr>
        <b/>
        <sz val="26"/>
        <color rgb="FFFF0000"/>
        <rFont val="Calibri"/>
        <family val="2"/>
        <scheme val="minor"/>
      </rPr>
      <t xml:space="preserve">
Equipo GRATIS
</t>
    </r>
    <r>
      <rPr>
        <b/>
        <sz val="26"/>
        <color theme="1"/>
        <rFont val="Calibri"/>
        <family val="2"/>
        <scheme val="minor"/>
      </rPr>
      <t xml:space="preserve">
</t>
    </r>
    <r>
      <rPr>
        <b/>
        <sz val="26"/>
        <color rgb="FF00B050"/>
        <rFont val="Calibri"/>
        <family val="2"/>
        <scheme val="minor"/>
      </rPr>
      <t>NO REQUIERE TRADE IN</t>
    </r>
    <r>
      <rPr>
        <b/>
        <sz val="26"/>
        <color theme="1"/>
        <rFont val="Calibri"/>
        <family val="2"/>
        <scheme val="minor"/>
      </rPr>
      <t xml:space="preserve">
</t>
    </r>
    <r>
      <rPr>
        <b/>
        <sz val="26"/>
        <color rgb="FF0070C0"/>
        <rFont val="Calibri"/>
        <family val="2"/>
        <scheme val="minor"/>
      </rPr>
      <t>CLIENTE NUEVO, PORTABILIDADES Y RENOVACIONES</t>
    </r>
    <r>
      <rPr>
        <b/>
        <sz val="26"/>
        <color theme="1"/>
        <rFont val="Calibri"/>
        <family val="2"/>
        <scheme val="minor"/>
      </rPr>
      <t xml:space="preserve">
SOLO 30 PLAZOS</t>
    </r>
  </si>
  <si>
    <r>
      <t xml:space="preserve">iPhone 12 Mini 128GB*
iPhone 12 Mini 256GB*
IPHONE 12 128GB*
iPhone 12 256GB*
SAMSUNG NOTE 20*
SAMSUNG S20 ULTRA* </t>
    </r>
    <r>
      <rPr>
        <sz val="22"/>
        <color rgb="FFFF0066"/>
        <rFont val="Calibri"/>
        <family val="2"/>
        <scheme val="minor"/>
      </rPr>
      <t xml:space="preserve">
</t>
    </r>
    <r>
      <rPr>
        <sz val="22"/>
        <rFont val="Calibri"/>
        <family val="2"/>
        <scheme val="minor"/>
      </rPr>
      <t xml:space="preserve">IPHONE 12 PRO 128GB* 
IPHONE 13 MINI 256GB*
LG G8X THINQ* 
SAMSUNG GALAXY S21*
SAMSUNG GALAXY S21+*        
Samsung Galaxy S20+
SAMSUNG GALAXY A42*
GOOGLE PIXEL 6A*
SAMSUNG GALAXY A53 5G*
                                                                                                                                                                                                                                                                                                                                                                                                                                                                                                                          </t>
    </r>
  </si>
  <si>
    <t xml:space="preserve">SAMSUNG Z FLIP3*
SAMSUNG GALAXY S21 ULTRA*
IPHONE 13 256GB*  bandas MILIMÉTRICAS
SAMSUNG GALAXY S22*
iPHONE 13 PRO 128GB* EN BANDA NO MILIMETRICA SOLAMENTE-Aplica a los siguientes item codes y números de material 
</t>
  </si>
  <si>
    <r>
      <t xml:space="preserve">
</t>
    </r>
    <r>
      <rPr>
        <b/>
        <sz val="26"/>
        <color rgb="FFFF0000"/>
        <rFont val="Calibri"/>
        <family val="2"/>
        <scheme val="minor"/>
      </rPr>
      <t>CREDITO DE $800 Garantizado</t>
    </r>
    <r>
      <rPr>
        <b/>
        <sz val="26"/>
        <rFont val="Calibri"/>
        <family val="2"/>
        <scheme val="minor"/>
      </rPr>
      <t xml:space="preserve">
</t>
    </r>
    <r>
      <rPr>
        <b/>
        <sz val="26"/>
        <color rgb="FF00B050"/>
        <rFont val="Calibri"/>
        <family val="2"/>
        <scheme val="minor"/>
      </rPr>
      <t>NO REQUIERE TRADE IN SIN VALORIZACION</t>
    </r>
    <r>
      <rPr>
        <b/>
        <sz val="26"/>
        <color rgb="FFFF0000"/>
        <rFont val="Calibri"/>
        <family val="2"/>
        <scheme val="minor"/>
      </rPr>
      <t xml:space="preserve">
</t>
    </r>
    <r>
      <rPr>
        <b/>
        <sz val="26"/>
        <rFont val="Calibri"/>
        <family val="2"/>
        <scheme val="minor"/>
      </rPr>
      <t xml:space="preserve">
</t>
    </r>
    <r>
      <rPr>
        <b/>
        <sz val="26"/>
        <color rgb="FF0070C0"/>
        <rFont val="Calibri"/>
        <family val="2"/>
        <scheme val="minor"/>
      </rPr>
      <t xml:space="preserve">LINEAS NUEVAS, PORTABILIDADES Y RENOVACIONES
</t>
    </r>
    <r>
      <rPr>
        <b/>
        <sz val="26"/>
        <rFont val="Calibri"/>
        <family val="2"/>
        <scheme val="minor"/>
      </rPr>
      <t>SOLO A 30 PLAZOS</t>
    </r>
  </si>
  <si>
    <r>
      <t xml:space="preserve">
</t>
    </r>
    <r>
      <rPr>
        <b/>
        <sz val="26"/>
        <color theme="1"/>
        <rFont val="Calibri"/>
        <family val="2"/>
        <scheme val="minor"/>
      </rPr>
      <t>EN PLANES DESDE $50</t>
    </r>
    <r>
      <rPr>
        <b/>
        <sz val="26"/>
        <color rgb="FFFF0000"/>
        <rFont val="Calibri"/>
        <family val="2"/>
        <scheme val="minor"/>
      </rPr>
      <t xml:space="preserve">
</t>
    </r>
  </si>
  <si>
    <t xml:space="preserve">
iPhone 13 512GB (APLICA A BANDA MILIMETRICA Y NO MILIMETRICA)*
iPhone 13 Pro 128GB BANDA MILIMETRICA*
Phone 13 Pro 256GB (aplica a ambas bandas)  *                                      
iPhone 13 PRO MAX 128GB BANDA MILIMETRICA* 
iPhone 13 PRO MAX 256GB BANDA MILIMETRICA*
iPhone 13 PRO MAX 512GB BANDA MILIMETRICA*
</t>
  </si>
  <si>
    <r>
      <t xml:space="preserve">
</t>
    </r>
    <r>
      <rPr>
        <b/>
        <sz val="26"/>
        <color rgb="FFFF0000"/>
        <rFont val="Calibri"/>
        <family val="2"/>
        <scheme val="minor"/>
      </rPr>
      <t>CREDITO DE $850 Garantizado</t>
    </r>
    <r>
      <rPr>
        <b/>
        <sz val="26"/>
        <rFont val="Calibri"/>
        <family val="2"/>
        <scheme val="minor"/>
      </rPr>
      <t xml:space="preserve">
</t>
    </r>
    <r>
      <rPr>
        <b/>
        <sz val="26"/>
        <color rgb="FF00B050"/>
        <rFont val="Calibri"/>
        <family val="2"/>
        <scheme val="minor"/>
      </rPr>
      <t>NO REQUIERE TRADE IN</t>
    </r>
    <r>
      <rPr>
        <b/>
        <sz val="26"/>
        <rFont val="Calibri"/>
        <family val="2"/>
        <scheme val="minor"/>
      </rPr>
      <t xml:space="preserve">
</t>
    </r>
    <r>
      <rPr>
        <b/>
        <sz val="26"/>
        <color rgb="FF0066FF"/>
        <rFont val="Calibri"/>
        <family val="2"/>
        <scheme val="minor"/>
      </rPr>
      <t xml:space="preserve">LINEAS NUEVAS, PORTABILIDADES Y RENOVACIONES
</t>
    </r>
    <r>
      <rPr>
        <b/>
        <sz val="26"/>
        <rFont val="Calibri"/>
        <family val="2"/>
        <scheme val="minor"/>
      </rPr>
      <t xml:space="preserve">
SOLO A 30 PLAZOS</t>
    </r>
  </si>
  <si>
    <r>
      <t xml:space="preserve">iPhone 12 PRO MAX 128GB* 
iPhone 12 PRO MAX 256GB* 
</t>
    </r>
    <r>
      <rPr>
        <sz val="30"/>
        <rFont val="Calibri"/>
        <family val="2"/>
        <scheme val="minor"/>
      </rPr>
      <t xml:space="preserve">iPhone 12 PRO MAX 512GB*
IPHONE 12 PRO 256GB*
IPHONE 12 PRO 512GB*    </t>
    </r>
  </si>
  <si>
    <r>
      <t xml:space="preserve">
</t>
    </r>
    <r>
      <rPr>
        <b/>
        <sz val="24"/>
        <color rgb="FFFF0000"/>
        <rFont val="Calibri"/>
        <family val="2"/>
        <scheme val="minor"/>
      </rPr>
      <t xml:space="preserve">CREDITO DE $700 Y $600 Garantizado
</t>
    </r>
    <r>
      <rPr>
        <b/>
        <sz val="24"/>
        <color rgb="FF00B050"/>
        <rFont val="Calibri"/>
        <family val="2"/>
        <scheme val="minor"/>
      </rPr>
      <t xml:space="preserve">NO REQUIERE TRADE IN SIN VALORIZACION
</t>
    </r>
    <r>
      <rPr>
        <b/>
        <sz val="24"/>
        <color rgb="FF0066FF"/>
        <rFont val="Calibri"/>
        <family val="2"/>
        <scheme val="minor"/>
      </rPr>
      <t xml:space="preserve">
LINEAS NUEVAS, PORTABILIDADES Y RENOVACIONES</t>
    </r>
    <r>
      <rPr>
        <b/>
        <sz val="24"/>
        <color rgb="FFFF0000"/>
        <rFont val="Calibri"/>
        <family val="2"/>
        <scheme val="minor"/>
      </rPr>
      <t xml:space="preserve">
SOLO A 30 PLAZOS</t>
    </r>
  </si>
  <si>
    <r>
      <rPr>
        <b/>
        <u/>
        <sz val="28"/>
        <color rgb="FFFF0000"/>
        <rFont val="Calibri"/>
        <family val="2"/>
        <scheme val="minor"/>
      </rPr>
      <t>Crédito $700:</t>
    </r>
    <r>
      <rPr>
        <sz val="28"/>
        <rFont val="Calibri"/>
        <family val="2"/>
        <scheme val="minor"/>
      </rPr>
      <t xml:space="preserve">
Samsung Galaxy S22 Ultra*
iPhone 14 256GB*
iPhone 14 Plus 128GB*
Samsung Galaxy S22+*
iPhone 14 Pro 128GB*
iPhone 14 Plus 256GB*
Samsung Galaxy Z Flip4*
iPhone 14 Pro 256GB*
iPhone 14 Pro Max 128GB
Samsung Z Fold3 5G*
</t>
    </r>
    <r>
      <rPr>
        <b/>
        <u/>
        <sz val="28"/>
        <color rgb="FFFF0000"/>
        <rFont val="Calibri"/>
        <family val="2"/>
        <scheme val="minor"/>
      </rPr>
      <t xml:space="preserve">Crédito $600:
</t>
    </r>
    <r>
      <rPr>
        <sz val="28"/>
        <rFont val="Calibri"/>
        <family val="2"/>
        <scheme val="minor"/>
      </rPr>
      <t xml:space="preserve">iPhone 14 Pro Max 256GB*
iPhone 14 Plus 512GB*
iPhone 14 Pro 512GB*
iPhone 14 Pro Max 512GB*
Z Fold 4*
</t>
    </r>
  </si>
  <si>
    <r>
      <rPr>
        <b/>
        <sz val="24"/>
        <color rgb="FFFF0000"/>
        <rFont val="Calibri"/>
        <family val="2"/>
        <scheme val="minor"/>
      </rPr>
      <t>NUEVO</t>
    </r>
    <r>
      <rPr>
        <b/>
        <sz val="24"/>
        <rFont val="Calibri"/>
        <family val="2"/>
        <scheme val="minor"/>
      </rPr>
      <t xml:space="preserve">
</t>
    </r>
    <r>
      <rPr>
        <b/>
        <sz val="24"/>
        <color rgb="FFFF0000"/>
        <rFont val="Calibri"/>
        <family val="2"/>
        <scheme val="minor"/>
      </rPr>
      <t xml:space="preserve">CREDITO DE $1,000 Y $900 Garantizado
</t>
    </r>
    <r>
      <rPr>
        <b/>
        <sz val="24"/>
        <color rgb="FF00B050"/>
        <rFont val="Calibri"/>
        <family val="2"/>
        <scheme val="minor"/>
      </rPr>
      <t xml:space="preserve">NO REQUIERE TRADE IN SIN VALORIZACION
</t>
    </r>
    <r>
      <rPr>
        <b/>
        <sz val="24"/>
        <color rgb="FF0066FF"/>
        <rFont val="Calibri"/>
        <family val="2"/>
        <scheme val="minor"/>
      </rPr>
      <t xml:space="preserve">
LINEAS NUEVAS, PORTABILIDADES Y RENOVACIONES</t>
    </r>
    <r>
      <rPr>
        <b/>
        <sz val="24"/>
        <color rgb="FFFF0000"/>
        <rFont val="Calibri"/>
        <family val="2"/>
        <scheme val="minor"/>
      </rPr>
      <t xml:space="preserve">
SOLO A 30 PLAZOS</t>
    </r>
  </si>
  <si>
    <r>
      <rPr>
        <b/>
        <u/>
        <sz val="30"/>
        <color rgb="FFFF0000"/>
        <rFont val="Calibri"/>
        <family val="2"/>
        <scheme val="minor"/>
      </rPr>
      <t xml:space="preserve">Crédito $1,000:
</t>
    </r>
    <r>
      <rPr>
        <sz val="30"/>
        <rFont val="Calibri"/>
        <family val="2"/>
        <scheme val="minor"/>
      </rPr>
      <t xml:space="preserve">iPhone 14 Pro 256GB*
iPhone 14 Pro Max 128GB*
iPhone 14 Pro Max 256GB*
iPhone 14 Pro Max 512GB*
</t>
    </r>
    <r>
      <rPr>
        <b/>
        <u/>
        <sz val="30"/>
        <color rgb="FFFF0000"/>
        <rFont val="Calibri"/>
        <family val="2"/>
        <scheme val="minor"/>
      </rPr>
      <t>Crédito $900:</t>
    </r>
    <r>
      <rPr>
        <sz val="30"/>
        <rFont val="Calibri"/>
        <family val="2"/>
        <scheme val="minor"/>
      </rPr>
      <t xml:space="preserve">
iPhone 14 Pro 128GB*
</t>
    </r>
  </si>
  <si>
    <r>
      <t xml:space="preserve">
</t>
    </r>
    <r>
      <rPr>
        <b/>
        <sz val="26"/>
        <color rgb="FFFF0000"/>
        <rFont val="Calibri"/>
        <family val="2"/>
        <scheme val="minor"/>
      </rPr>
      <t>CREDITO DE $1,000 Garantizado</t>
    </r>
    <r>
      <rPr>
        <b/>
        <sz val="26"/>
        <rFont val="Calibri"/>
        <family val="2"/>
        <scheme val="minor"/>
      </rPr>
      <t xml:space="preserve">
</t>
    </r>
    <r>
      <rPr>
        <b/>
        <sz val="26"/>
        <color rgb="FF00B050"/>
        <rFont val="Calibri"/>
        <family val="2"/>
        <scheme val="minor"/>
      </rPr>
      <t xml:space="preserve">NO REQUIERE TRADE IN SIN VALORIZACION
</t>
    </r>
    <r>
      <rPr>
        <b/>
        <sz val="26"/>
        <rFont val="Calibri"/>
        <family val="2"/>
        <scheme val="minor"/>
      </rPr>
      <t xml:space="preserve">
</t>
    </r>
    <r>
      <rPr>
        <b/>
        <sz val="26"/>
        <color rgb="FF0070C0"/>
        <rFont val="Calibri"/>
        <family val="2"/>
        <scheme val="minor"/>
      </rPr>
      <t xml:space="preserve">LINEAS NUEVAS, PORTABILIDADES Y RENOVACIONES
</t>
    </r>
    <r>
      <rPr>
        <b/>
        <sz val="26"/>
        <rFont val="Calibri"/>
        <family val="2"/>
        <scheme val="minor"/>
      </rPr>
      <t>SOLO A 30 PLAZOS</t>
    </r>
  </si>
  <si>
    <t xml:space="preserve">
AHORA APLICA EN PLANES DESDE $50</t>
  </si>
  <si>
    <r>
      <rPr>
        <b/>
        <sz val="30"/>
        <rFont val="Calibri"/>
        <family val="2"/>
        <scheme val="minor"/>
      </rPr>
      <t xml:space="preserve">
iPhone 13 PRO MAX 128GB BANDA NO MILIMETRICA  
iPhone 13 PRO MAX 256GB BANDA NO MILIMETRICA  
iPhone 13 PRO MAX 512GB BANDA NO MILIMETRICA           </t>
    </r>
    <r>
      <rPr>
        <b/>
        <sz val="30"/>
        <color rgb="FFFF0000"/>
        <rFont val="Calibri"/>
        <family val="2"/>
        <scheme val="minor"/>
      </rPr>
      <t xml:space="preserve">                                                                                                                                                                                                                                                     </t>
    </r>
  </si>
  <si>
    <r>
      <t xml:space="preserve">Equipo </t>
    </r>
    <r>
      <rPr>
        <b/>
        <sz val="26"/>
        <color rgb="FFFF0000"/>
        <rFont val="Calibri"/>
        <family val="2"/>
        <scheme val="minor"/>
      </rPr>
      <t>GRATIS</t>
    </r>
    <r>
      <rPr>
        <b/>
        <sz val="26"/>
        <color theme="1"/>
        <rFont val="Calibri"/>
        <family val="2"/>
        <scheme val="minor"/>
      </rPr>
      <t xml:space="preserve">
</t>
    </r>
    <r>
      <rPr>
        <b/>
        <sz val="26"/>
        <color rgb="FF0070C0"/>
        <rFont val="Calibri"/>
        <family val="2"/>
        <scheme val="minor"/>
      </rPr>
      <t xml:space="preserve">SOLO PARA CLIENTE EXISTENTE QUE AÑADA LINEAS NUEVAS CON Y SIN PORTABILIDAD </t>
    </r>
    <r>
      <rPr>
        <b/>
        <sz val="26"/>
        <color theme="1"/>
        <rFont val="Calibri"/>
        <family val="2"/>
        <scheme val="minor"/>
      </rPr>
      <t xml:space="preserve">
</t>
    </r>
  </si>
  <si>
    <t xml:space="preserve">Galaxy NOTE 10 LITE*
</t>
  </si>
  <si>
    <r>
      <rPr>
        <b/>
        <sz val="26"/>
        <color rgb="FFFF0000"/>
        <rFont val="Calibri"/>
        <family val="2"/>
        <scheme val="minor"/>
      </rPr>
      <t>EQUIIPOS CON 50% DESC
(A MITAD DE PRECIO)</t>
    </r>
    <r>
      <rPr>
        <b/>
        <sz val="26"/>
        <rFont val="Calibri"/>
        <family val="2"/>
        <scheme val="minor"/>
      </rPr>
      <t xml:space="preserve">
</t>
    </r>
    <r>
      <rPr>
        <b/>
        <sz val="26"/>
        <color rgb="FF00B050"/>
        <rFont val="Calibri"/>
        <family val="2"/>
        <scheme val="minor"/>
      </rPr>
      <t>NO REQUIERE TRADE IN</t>
    </r>
    <r>
      <rPr>
        <b/>
        <sz val="26"/>
        <rFont val="Calibri"/>
        <family val="2"/>
        <scheme val="minor"/>
      </rPr>
      <t xml:space="preserve">
</t>
    </r>
    <r>
      <rPr>
        <b/>
        <sz val="26"/>
        <color rgb="FF0070C0"/>
        <rFont val="Calibri"/>
        <family val="2"/>
        <scheme val="minor"/>
      </rPr>
      <t xml:space="preserve">
LINEAS NUEVAS, PORTABILIDADES Y RENOVACIONES</t>
    </r>
    <r>
      <rPr>
        <b/>
        <sz val="26"/>
        <rFont val="Calibri"/>
        <family val="2"/>
        <scheme val="minor"/>
      </rPr>
      <t xml:space="preserve">
SOLO A 30 PLAZOS</t>
    </r>
  </si>
  <si>
    <r>
      <rPr>
        <sz val="30"/>
        <color rgb="FFFF0066"/>
        <rFont val="Calibri"/>
        <family val="2"/>
        <scheme val="minor"/>
      </rPr>
      <t>LG G8X ThinQ*</t>
    </r>
    <r>
      <rPr>
        <sz val="30"/>
        <rFont val="Calibri"/>
        <family val="2"/>
        <scheme val="minor"/>
      </rPr>
      <t xml:space="preserve">
Samsung Galaxy A71*</t>
    </r>
  </si>
  <si>
    <r>
      <rPr>
        <b/>
        <sz val="26"/>
        <color rgb="FFFF0000"/>
        <rFont val="Calibri"/>
        <family val="2"/>
        <scheme val="minor"/>
      </rPr>
      <t>CREDITO DE $850 Garantizado</t>
    </r>
    <r>
      <rPr>
        <b/>
        <sz val="26"/>
        <rFont val="Calibri"/>
        <family val="2"/>
        <scheme val="minor"/>
      </rPr>
      <t xml:space="preserve">
</t>
    </r>
    <r>
      <rPr>
        <b/>
        <sz val="26"/>
        <color rgb="FF00B050"/>
        <rFont val="Calibri"/>
        <family val="2"/>
        <scheme val="minor"/>
      </rPr>
      <t xml:space="preserve">REQUIERE TRADE IN SIN VALORIZACION
</t>
    </r>
    <r>
      <rPr>
        <b/>
        <sz val="26"/>
        <rFont val="Calibri"/>
        <family val="2"/>
        <scheme val="minor"/>
      </rPr>
      <t xml:space="preserve">
</t>
    </r>
    <r>
      <rPr>
        <b/>
        <sz val="26"/>
        <color rgb="FF0070C0"/>
        <rFont val="Calibri"/>
        <family val="2"/>
        <scheme val="minor"/>
      </rPr>
      <t xml:space="preserve">LINEAS NUEVAS, PORTABILIDADES Y RENOVACIONES
</t>
    </r>
    <r>
      <rPr>
        <b/>
        <sz val="26"/>
        <rFont val="Calibri"/>
        <family val="2"/>
        <scheme val="minor"/>
      </rPr>
      <t xml:space="preserve">
SOLO A 30 PLAZOS</t>
    </r>
  </si>
  <si>
    <t xml:space="preserve">
Galaxy Z Flip*
Galaxy Z Fold2 5G*
Galaxy Fold*
SAMSUNG NOTE 20 ULTRA</t>
  </si>
  <si>
    <r>
      <t xml:space="preserve">
</t>
    </r>
    <r>
      <rPr>
        <b/>
        <sz val="26"/>
        <color rgb="FFFF0000"/>
        <rFont val="Calibri"/>
        <family val="2"/>
        <scheme val="minor"/>
      </rPr>
      <t>CREDITO DE $700 Garantizado</t>
    </r>
    <r>
      <rPr>
        <b/>
        <sz val="26"/>
        <rFont val="Calibri"/>
        <family val="2"/>
        <scheme val="minor"/>
      </rPr>
      <t xml:space="preserve">
</t>
    </r>
    <r>
      <rPr>
        <b/>
        <sz val="48"/>
        <color rgb="FFFF0000"/>
        <rFont val="Calibri"/>
        <family val="2"/>
        <scheme val="minor"/>
      </rPr>
      <t xml:space="preserve">NO REQUIERE TRADE IN SIN VALORIZACION
</t>
    </r>
    <r>
      <rPr>
        <b/>
        <sz val="26"/>
        <rFont val="Calibri"/>
        <family val="2"/>
        <scheme val="minor"/>
      </rPr>
      <t xml:space="preserve">
</t>
    </r>
    <r>
      <rPr>
        <b/>
        <sz val="26"/>
        <color rgb="FF0070C0"/>
        <rFont val="Calibri"/>
        <family val="2"/>
        <scheme val="minor"/>
      </rPr>
      <t xml:space="preserve">LINEAS NUEVAS, PORTABILIDADES Y RENOVACIONES
</t>
    </r>
    <r>
      <rPr>
        <b/>
        <sz val="26"/>
        <rFont val="Calibri"/>
        <family val="2"/>
        <scheme val="minor"/>
      </rPr>
      <t>SOLO A 30 PLAZOS</t>
    </r>
  </si>
  <si>
    <t xml:space="preserve">SAMSUNG Z FOLD 3 5G
</t>
  </si>
  <si>
    <t>30% de Descuento</t>
  </si>
  <si>
    <t>LG G8s Thin Q (Precio regular bajo a $599.99)*</t>
  </si>
  <si>
    <t>50% de descuento</t>
  </si>
  <si>
    <t>LG G7*</t>
  </si>
  <si>
    <t xml:space="preserve"> LG V20*
 LG G6*</t>
  </si>
  <si>
    <t>Equipo 56.36% de Descuento</t>
  </si>
  <si>
    <t xml:space="preserve">LG V30* (cliente paga $12.00 mensuales por 24 plazos)
</t>
  </si>
  <si>
    <r>
      <t xml:space="preserve">
OFERTA 10% de Descuento
</t>
    </r>
    <r>
      <rPr>
        <b/>
        <sz val="20"/>
        <color rgb="FF00B0F0"/>
        <rFont val="Calibri"/>
        <family val="2"/>
        <scheme val="minor"/>
      </rPr>
      <t>CLIENTE NUEVO, CLIENTE EXISTENTE Y RENOVACIONES</t>
    </r>
  </si>
  <si>
    <t xml:space="preserve">
'Samsung A9 *</t>
  </si>
  <si>
    <t xml:space="preserve">LG V35 con Homebot*
</t>
  </si>
  <si>
    <r>
      <t xml:space="preserve">Ver boletín de términos y condiciones para más detalles e información de los procesos. 
</t>
    </r>
    <r>
      <rPr>
        <b/>
        <sz val="36"/>
        <color theme="1"/>
        <rFont val="Calibri"/>
        <family val="2"/>
        <scheme val="minor"/>
      </rPr>
      <t xml:space="preserve">* Equipos en liquidación.  El inventario de estos equipos es limitado, así que la oferta aplica para aquellos canales de ventas donde haya inventario disponible. </t>
    </r>
  </si>
  <si>
    <r>
      <t xml:space="preserve">- Aplica a portabilidades, líneas nuevas y renovaciones.                                               
- </t>
    </r>
    <r>
      <rPr>
        <b/>
        <sz val="20"/>
        <rFont val="Calibri"/>
        <family val="2"/>
        <scheme val="minor"/>
      </rPr>
      <t>Todos los equipos gratis aplicarán también a todas las lineas de los planes BUSINESS RED desde la 1 hasta 10</t>
    </r>
    <r>
      <rPr>
        <sz val="20"/>
        <rFont val="Calibri"/>
        <family val="2"/>
        <scheme val="minor"/>
      </rPr>
      <t xml:space="preserve">
- Oferta solo aplica a 24 plazos en  Financiamiento.
- Aunque los equipos estén en oferta, el cliente deberá pagar los taxes de todos los  equipos que adquiera, al momento de la activación.
- Aplican a todas las líneas de los planes multilíneas Business RED.
- Aplican a Planes Claro Sin Fronteras. 
</t>
    </r>
    <r>
      <rPr>
        <b/>
        <sz val="20"/>
        <rFont val="Calibri"/>
        <family val="2"/>
        <scheme val="minor"/>
      </rPr>
      <t xml:space="preserve">- No Apilca Bono de Streaming </t>
    </r>
    <r>
      <rPr>
        <sz val="20"/>
        <rFont val="Calibri"/>
        <family val="2"/>
        <scheme val="minor"/>
      </rPr>
      <t xml:space="preserve">
 Price Code a usar es:
Financiamiento- FIUP24</t>
    </r>
  </si>
  <si>
    <r>
      <rPr>
        <sz val="20"/>
        <rFont val="Calibri"/>
        <family val="2"/>
        <scheme val="minor"/>
      </rPr>
      <t xml:space="preserve">- </t>
    </r>
    <r>
      <rPr>
        <sz val="22"/>
        <rFont val="Calibri"/>
        <family val="2"/>
        <scheme val="minor"/>
      </rPr>
      <t xml:space="preserve">Aplica a portabilidades, líneas nuevas y renovaciones. 
- Todos los equipos gratis aplicarán también a todas las lineas de los planes BUSINESS RED desde la 1 hasta 10
- Oferta aplica a 20, 24, 30 o 36 plazos en Financiamiento.
- Aunque los equipos estén en oferta, el cliente deberá pagar los taxes de todos los  equipos que adquiera, al momento de la activación.        
</t>
    </r>
    <r>
      <rPr>
        <b/>
        <sz val="22"/>
        <color rgb="FFFF0000"/>
        <rFont val="Calibri"/>
        <family val="2"/>
        <scheme val="minor"/>
      </rPr>
      <t>-</t>
    </r>
    <r>
      <rPr>
        <b/>
        <sz val="22"/>
        <rFont val="Calibri"/>
        <family val="2"/>
        <scheme val="minor"/>
      </rPr>
      <t>Apilca Bono de Streaming  si el cliente es convergente, el pago del equipo es a 30 plazos o mas y cumple con todos los requisitos del mismo</t>
    </r>
    <r>
      <rPr>
        <sz val="22"/>
        <rFont val="Calibri"/>
        <family val="2"/>
        <scheme val="minor"/>
      </rPr>
      <t xml:space="preserve"> </t>
    </r>
    <r>
      <rPr>
        <b/>
        <sz val="22"/>
        <rFont val="Calibri"/>
        <family val="2"/>
        <scheme val="minor"/>
      </rPr>
      <t xml:space="preserve">                                                                                                                                                                                                             Código de descuento: UPD20%
Price Codes a utilizar: FIUP20, FIUP 24, FIUP 30, FIUP36
Tarifa: VOLT820
Proceso para aplicar descuento a los clientes que adquieran estas ofertas con descuento de 20%:
• Una vez el vendedor entre el ítem code como regularmente lo hace, deberá oprimir el botón de descuentos y elegir el descuento UPD20% para que automáticamente se le aplique al precio del equipo comprado.</t>
    </r>
  </si>
  <si>
    <r>
      <rPr>
        <b/>
        <sz val="28"/>
        <color theme="1"/>
        <rFont val="Calibri"/>
        <family val="2"/>
        <scheme val="minor"/>
      </rPr>
      <t xml:space="preserve">- </t>
    </r>
    <r>
      <rPr>
        <b/>
        <sz val="28"/>
        <rFont val="Calibri"/>
        <family val="2"/>
        <scheme val="minor"/>
      </rPr>
      <t>Aplica a portabilidades, líneas nuevas y renovaciones. 
-  Todos los equipos gratis aplicarán también a todas las lineas de los planes Business RED desde la 1 hasta 10</t>
    </r>
    <r>
      <rPr>
        <sz val="28"/>
        <color theme="1"/>
        <rFont val="Calibri"/>
        <family val="2"/>
        <scheme val="minor"/>
      </rPr>
      <t xml:space="preserve">
</t>
    </r>
    <r>
      <rPr>
        <b/>
        <sz val="28"/>
        <rFont val="Calibri"/>
        <family val="2"/>
        <scheme val="minor"/>
      </rPr>
      <t xml:space="preserve">- Oferta solo aplica a 30 plazos en Financiamiento.
-Apilca Bono de Streaming  si el cliente es convergente, el pago de equipo  es a 30 plazos o mas y cumple con todos los rerquisitos del mismo </t>
    </r>
    <r>
      <rPr>
        <sz val="28"/>
        <rFont val="Calibri"/>
        <family val="2"/>
        <scheme val="minor"/>
      </rPr>
      <t xml:space="preserve">                          </t>
    </r>
    <r>
      <rPr>
        <sz val="28"/>
        <color theme="1"/>
        <rFont val="Calibri"/>
        <family val="2"/>
        <scheme val="minor"/>
      </rPr>
      <t xml:space="preserve">                                                                                                                                                                                              - Aunque los equipos estén en oferta, el cliente deberá pagar los taxes de todos los  equipos que adquiera, al momento de la activación.
- Aplican a Planes Claro Sin Fronteras.
</t>
    </r>
    <r>
      <rPr>
        <b/>
        <sz val="28"/>
        <color theme="1"/>
        <rFont val="Calibri"/>
        <family val="2"/>
        <scheme val="minor"/>
      </rPr>
      <t xml:space="preserve">- Price code a utilizar:
</t>
    </r>
    <r>
      <rPr>
        <b/>
        <sz val="28"/>
        <color rgb="FF0070C0"/>
        <rFont val="Calibri"/>
        <family val="2"/>
        <scheme val="minor"/>
      </rPr>
      <t>Financiamiento- FIUP30</t>
    </r>
  </si>
  <si>
    <r>
      <rPr>
        <b/>
        <sz val="28"/>
        <color theme="1"/>
        <rFont val="Calibri"/>
        <family val="2"/>
        <scheme val="minor"/>
      </rPr>
      <t xml:space="preserve">- </t>
    </r>
    <r>
      <rPr>
        <b/>
        <sz val="28"/>
        <rFont val="Calibri"/>
        <family val="2"/>
        <scheme val="minor"/>
      </rPr>
      <t>Aplica a portabilidades, líneas nuevas y renovaciones. 
- Todos los equipos gratis aplicarán también a todas las lineas de los planes Business RED desde la 1 hasta 10</t>
    </r>
    <r>
      <rPr>
        <sz val="28"/>
        <color theme="1"/>
        <rFont val="Calibri"/>
        <family val="2"/>
        <scheme val="minor"/>
      </rPr>
      <t xml:space="preserve">
</t>
    </r>
    <r>
      <rPr>
        <b/>
        <sz val="28"/>
        <rFont val="Calibri"/>
        <family val="2"/>
        <scheme val="minor"/>
      </rPr>
      <t xml:space="preserve">- Oferta solo aplica a 30 plazos en Financiamiento.
-Aplica Bono de Streaming  si el cliente es convergente, el pago de equipo  es a 30 plazos o mas y cumple con todos los requisitos del mismo    </t>
    </r>
    <r>
      <rPr>
        <sz val="28"/>
        <rFont val="Calibri"/>
        <family val="2"/>
        <scheme val="minor"/>
      </rPr>
      <t xml:space="preserve">                </t>
    </r>
    <r>
      <rPr>
        <sz val="28"/>
        <color theme="1"/>
        <rFont val="Calibri"/>
        <family val="2"/>
        <scheme val="minor"/>
      </rPr>
      <t xml:space="preserve">                                                                                                                                                                                                - Aunque los equipos estén en oferta, el cliente deberá pagar los taxes de todos los  equipos que adquiera, al momento de la activación.
- Aplican a Planes Claro Sin Fronteras.
</t>
    </r>
    <r>
      <rPr>
        <b/>
        <sz val="28"/>
        <color theme="1"/>
        <rFont val="Calibri"/>
        <family val="2"/>
        <scheme val="minor"/>
      </rPr>
      <t xml:space="preserve">- Price code a utilizar:
</t>
    </r>
    <r>
      <rPr>
        <b/>
        <sz val="28"/>
        <color rgb="FF0070C0"/>
        <rFont val="Calibri"/>
        <family val="2"/>
        <scheme val="minor"/>
      </rPr>
      <t>Financiamiento- FIUP30</t>
    </r>
  </si>
  <si>
    <r>
      <t>- Aplica a portabilidades, líneas nuevas y renovaciones. 
 -</t>
    </r>
    <r>
      <rPr>
        <b/>
        <sz val="20"/>
        <color rgb="FFFF0000"/>
        <rFont val="Calibri"/>
        <family val="2"/>
        <scheme val="minor"/>
      </rPr>
      <t xml:space="preserve"> Con esta oferta de Equipos Gratis NO aplica Bono de Portabilidad en planes individuales sobre $50</t>
    </r>
    <r>
      <rPr>
        <sz val="20"/>
        <color theme="1"/>
        <rFont val="Calibri"/>
        <family val="2"/>
        <scheme val="minor"/>
      </rPr>
      <t xml:space="preserve">
- El cliente puede adquirir hasta 5 equipos gratis y hasta 5 líneas con Claro.
- Todos los equipos gratis aplicarán también a todas las líneas de planes multilíneas Business Red desde 1 hasta 10.
</t>
    </r>
    <r>
      <rPr>
        <b/>
        <sz val="20"/>
        <color rgb="FFFF0000"/>
        <rFont val="Calibri"/>
        <family val="2"/>
        <scheme val="minor"/>
      </rPr>
      <t>- Oferta solo aplica a 24 plazos en FInanciamiento.</t>
    </r>
    <r>
      <rPr>
        <sz val="20"/>
        <color theme="1"/>
        <rFont val="Calibri"/>
        <family val="2"/>
        <scheme val="minor"/>
      </rPr>
      <t xml:space="preserve">
</t>
    </r>
    <r>
      <rPr>
        <b/>
        <sz val="20"/>
        <color rgb="FFFF0000"/>
        <rFont val="Calibri"/>
        <family val="2"/>
        <scheme val="minor"/>
      </rPr>
      <t xml:space="preserve">-No Apilca Bono de Streaming
</t>
    </r>
    <r>
      <rPr>
        <sz val="20"/>
        <color theme="1"/>
        <rFont val="Calibri"/>
        <family val="2"/>
        <scheme val="minor"/>
      </rPr>
      <t xml:space="preserve">- Aunque los equipos estén en oferta, el cliente deberá pagar los taxes de todos los  equipos que adquiera, al momento de la activación.
- Aplican a todas las líneas de los planes multilíneas Business RED.
- Aplican a Planes Claro Sin Fronteras.
- Price code a utilizar:
</t>
    </r>
    <r>
      <rPr>
        <b/>
        <sz val="20"/>
        <color rgb="FF0070C0"/>
        <rFont val="Calibri"/>
        <family val="2"/>
        <scheme val="minor"/>
      </rPr>
      <t>Financiamiento- FIUP30</t>
    </r>
  </si>
  <si>
    <r>
      <rPr>
        <b/>
        <sz val="28"/>
        <color theme="1"/>
        <rFont val="Calibri"/>
        <family val="2"/>
        <scheme val="minor"/>
      </rPr>
      <t xml:space="preserve">- </t>
    </r>
    <r>
      <rPr>
        <b/>
        <sz val="28"/>
        <rFont val="Calibri"/>
        <family val="2"/>
        <scheme val="minor"/>
      </rPr>
      <t>Aplica a portabilidades, líneas nuevas y renovaciones. 
-  Todos los equipos gratis aplicarán también a todas las lineas de los planes Business RED desde la 1 hasta 10</t>
    </r>
    <r>
      <rPr>
        <sz val="28"/>
        <color theme="1"/>
        <rFont val="Calibri"/>
        <family val="2"/>
        <scheme val="minor"/>
      </rPr>
      <t xml:space="preserve">
</t>
    </r>
    <r>
      <rPr>
        <b/>
        <sz val="28"/>
        <rFont val="Calibri"/>
        <family val="2"/>
        <scheme val="minor"/>
      </rPr>
      <t xml:space="preserve">- Oferta solo aplica a 30 plazos en Financiamiento.
-Apilca Bono de Streaming  si el cliente es convergente, el pago de equipo  es a 30 plazos o mas y cumple con todos los rerquisitos del mismo    </t>
    </r>
    <r>
      <rPr>
        <b/>
        <sz val="28"/>
        <color rgb="FFFF0000"/>
        <rFont val="Calibri"/>
        <family val="2"/>
        <scheme val="minor"/>
      </rPr>
      <t xml:space="preserve">      </t>
    </r>
    <r>
      <rPr>
        <sz val="28"/>
        <color theme="1"/>
        <rFont val="Calibri"/>
        <family val="2"/>
        <scheme val="minor"/>
      </rPr>
      <t xml:space="preserve">                                                                                                                                                                                                        
 - Aunque los equipos estén en oferta, el cliente deberá pagar los taxes de todos los  equipos que adquiera, al momento de la activación.
- Aplican a Planes Claro Sin Fronteras.
</t>
    </r>
    <r>
      <rPr>
        <b/>
        <sz val="28"/>
        <color theme="1"/>
        <rFont val="Calibri"/>
        <family val="2"/>
        <scheme val="minor"/>
      </rPr>
      <t xml:space="preserve">- Price code a utilizar:
</t>
    </r>
    <r>
      <rPr>
        <b/>
        <sz val="28"/>
        <color rgb="FF0070C0"/>
        <rFont val="Calibri"/>
        <family val="2"/>
        <scheme val="minor"/>
      </rPr>
      <t>Financiamiento- FIUP30</t>
    </r>
  </si>
  <si>
    <r>
      <rPr>
        <b/>
        <sz val="22"/>
        <color theme="1"/>
        <rFont val="Calibri"/>
        <family val="2"/>
        <scheme val="minor"/>
      </rPr>
      <t xml:space="preserve">- </t>
    </r>
    <r>
      <rPr>
        <b/>
        <sz val="22"/>
        <rFont val="Calibri"/>
        <family val="2"/>
        <scheme val="minor"/>
      </rPr>
      <t xml:space="preserve">Aplica a portabilidades, líneas nuevas y renovaciones. 
-  </t>
    </r>
    <r>
      <rPr>
        <b/>
        <sz val="22"/>
        <color rgb="FFFF0000"/>
        <rFont val="Calibri"/>
        <family val="2"/>
        <scheme val="minor"/>
      </rPr>
      <t>Todos los equipos gratis aplicarán también a todas las lineas de los planes BUSINESS RED PLUS, RED EXTREME, RED SUPREME Y RED SIN FRONTERAS desde la 1 hasta 10</t>
    </r>
    <r>
      <rPr>
        <sz val="22"/>
        <color theme="1"/>
        <rFont val="Calibri"/>
        <family val="2"/>
        <scheme val="minor"/>
      </rPr>
      <t xml:space="preserve">
</t>
    </r>
    <r>
      <rPr>
        <b/>
        <sz val="22"/>
        <rFont val="Calibri"/>
        <family val="2"/>
        <scheme val="minor"/>
      </rPr>
      <t xml:space="preserve">- Oferta solo aplica a 30 plazos en Financiamiento.
-Apilca Bono de Streaming  si el cliente es convergente, el pago de equipo  es a 30 plazos o mas y cumple con todos los rerquisitos del mismo    </t>
    </r>
    <r>
      <rPr>
        <b/>
        <sz val="22"/>
        <color rgb="FFFF0000"/>
        <rFont val="Calibri"/>
        <family val="2"/>
        <scheme val="minor"/>
      </rPr>
      <t xml:space="preserve">      </t>
    </r>
    <r>
      <rPr>
        <sz val="22"/>
        <color theme="1"/>
        <rFont val="Calibri"/>
        <family val="2"/>
        <scheme val="minor"/>
      </rPr>
      <t xml:space="preserve">                                                                                                                                                                                                        
 - Aunque los equipos estén en oferta, el cliente deberá pagar los taxes de todos los  equipos que adquiera, al momento de la activación.
- Aplican a Planes Claro Sin Fronteras.
</t>
    </r>
    <r>
      <rPr>
        <b/>
        <sz val="22"/>
        <color theme="1"/>
        <rFont val="Calibri"/>
        <family val="2"/>
        <scheme val="minor"/>
      </rPr>
      <t xml:space="preserve">-Price code a utilizar:
</t>
    </r>
    <r>
      <rPr>
        <b/>
        <sz val="22"/>
        <color rgb="FF0070C0"/>
        <rFont val="Calibri"/>
        <family val="2"/>
        <scheme val="minor"/>
      </rPr>
      <t xml:space="preserve">
Financiamiento- FIUP30
</t>
    </r>
  </si>
  <si>
    <r>
      <rPr>
        <b/>
        <sz val="24"/>
        <color rgb="FF0070C0"/>
        <rFont val="Calibri"/>
        <family val="2"/>
        <scheme val="minor"/>
      </rPr>
      <t xml:space="preserve">CLIENTE CON CREDITO B, C, E NO REQUIERE PAGO INIICIAL (DOWN PAYMENT)
CLIENTE CON CREDITO D, F, G REQUIRE PAGO INICIAL EN EQUIPOS SELECCIONADOS, Y EN RENOVACIONES SOLO CON TENURE (CLIENTE DE CLARO) DE 19 MESES O MENOS. 
</t>
    </r>
    <r>
      <rPr>
        <b/>
        <sz val="24"/>
        <rFont val="Calibri"/>
        <family val="2"/>
        <scheme val="minor"/>
      </rPr>
      <t>APLICA A LINEAS NUEVAS CON Y SIN PORTABILIDAD Y RENOVACIONES</t>
    </r>
    <r>
      <rPr>
        <sz val="24"/>
        <rFont val="Calibri"/>
        <family val="2"/>
        <scheme val="minor"/>
      </rPr>
      <t xml:space="preserve">
- Oferta</t>
    </r>
    <r>
      <rPr>
        <b/>
        <sz val="24"/>
        <color rgb="FFFF0000"/>
        <rFont val="Calibri"/>
        <family val="2"/>
        <scheme val="minor"/>
      </rPr>
      <t xml:space="preserve"> NO</t>
    </r>
    <r>
      <rPr>
        <sz val="24"/>
        <rFont val="Calibri"/>
        <family val="2"/>
        <scheme val="minor"/>
      </rPr>
      <t xml:space="preserve"> Requiere la entrega de equipo selecto en Trade in SIN valorización
- Aunque los equipos estén en oferta, el cliente deberá pagar los taxes de todos los equipos que adquiera,  al momento de la activación.
</t>
    </r>
    <r>
      <rPr>
        <b/>
        <sz val="24"/>
        <rFont val="Calibri"/>
        <family val="2"/>
        <scheme val="minor"/>
      </rPr>
      <t>- ESTA Oferta aplica solo a 30 PLAZOS. Créditos se comienzan a ver a partir de la 2nda factura.</t>
    </r>
    <r>
      <rPr>
        <sz val="24"/>
        <rFont val="Calibri"/>
        <family val="2"/>
        <scheme val="minor"/>
      </rPr>
      <t xml:space="preserve">
-</t>
    </r>
    <r>
      <rPr>
        <b/>
        <sz val="24"/>
        <rFont val="Calibri"/>
        <family val="2"/>
        <scheme val="minor"/>
      </rPr>
      <t xml:space="preserve">Apilca Bono de Streaming  si el cliente es convergente, el pago de equipo  es a 30 plazos o mas y cumple con todos los rerquisitos del mismo    
</t>
    </r>
    <r>
      <rPr>
        <sz val="24"/>
        <rFont val="Calibri"/>
        <family val="2"/>
        <scheme val="minor"/>
      </rPr>
      <t xml:space="preserve">- </t>
    </r>
    <r>
      <rPr>
        <b/>
        <sz val="24"/>
        <rFont val="Calibri"/>
        <family val="2"/>
        <scheme val="minor"/>
      </rPr>
      <t>Todos los equipos gratis aplicarán también a todas las lineas de los planes BUSINESS RED desde la 1 hasta 10</t>
    </r>
    <r>
      <rPr>
        <sz val="24"/>
        <rFont val="Calibri"/>
        <family val="2"/>
        <scheme val="minor"/>
      </rPr>
      <t xml:space="preserve">
-</t>
    </r>
    <r>
      <rPr>
        <b/>
        <sz val="24"/>
        <rFont val="Calibri"/>
        <family val="2"/>
        <scheme val="minor"/>
      </rPr>
      <t>La oferta aplica en planes desde $50</t>
    </r>
    <r>
      <rPr>
        <sz val="24"/>
        <rFont val="Calibri"/>
        <family val="2"/>
        <scheme val="minor"/>
      </rPr>
      <t xml:space="preserve">
- Oferta valida en Financiamiento</t>
    </r>
    <r>
      <rPr>
        <b/>
        <sz val="28"/>
        <color rgb="FF0070C0"/>
        <rFont val="Calibri"/>
        <family val="2"/>
        <scheme val="minor"/>
      </rPr>
      <t xml:space="preserve">
Financiamiento- FIUP30</t>
    </r>
  </si>
  <si>
    <r>
      <t xml:space="preserve">
'</t>
    </r>
    <r>
      <rPr>
        <b/>
        <sz val="24"/>
        <color rgb="FF0070C0"/>
        <rFont val="Calibri"/>
        <family val="2"/>
        <scheme val="minor"/>
      </rPr>
      <t xml:space="preserve">CLIENTE CON CREDITO B, C, E NO REQUIERE PAGO INIICIAL (DOWN PAYMENT)
CLIENTE CON CREDITO D, F, G REQUIRE PAGO INICIAL EN EQUIPOS SELECCIONADOS, Y EN RENOVACIONES SOLO CON TENURE (CLIENTE DE CLARO) DE 19 MESES O MENOS. 
</t>
    </r>
    <r>
      <rPr>
        <b/>
        <sz val="24"/>
        <rFont val="Calibri"/>
        <family val="2"/>
        <scheme val="minor"/>
      </rPr>
      <t>APLICA A LINEAS NUEVAS CON Y SIN PORTABILIDAD Y RENOVACIONES</t>
    </r>
    <r>
      <rPr>
        <sz val="24"/>
        <rFont val="Calibri"/>
        <family val="2"/>
        <scheme val="minor"/>
      </rPr>
      <t xml:space="preserve">
</t>
    </r>
    <r>
      <rPr>
        <b/>
        <sz val="24"/>
        <rFont val="Calibri"/>
        <family val="2"/>
        <scheme val="minor"/>
      </rPr>
      <t>- Oferta NO Requiere Trade in</t>
    </r>
    <r>
      <rPr>
        <sz val="24"/>
        <rFont val="Calibri"/>
        <family val="2"/>
        <scheme val="minor"/>
      </rPr>
      <t xml:space="preserve">
- Aunque los equipos estén en oferta, el cliente deberá pagar los taxes de todos los equipos que adquiera,  al momento de la activación.
</t>
    </r>
    <r>
      <rPr>
        <b/>
        <sz val="24"/>
        <rFont val="Calibri"/>
        <family val="2"/>
        <scheme val="minor"/>
      </rPr>
      <t>- ESTA Oferta aplica solo a 30 PLAZOS. Créditos se comienzan a ver a partir de la 2nda factura.</t>
    </r>
    <r>
      <rPr>
        <sz val="24"/>
        <rFont val="Calibri"/>
        <family val="2"/>
        <scheme val="minor"/>
      </rPr>
      <t xml:space="preserve">
-Apilca Bono de Streaming  si el cliente es convergente, el pago de equipo  es a 30 plazos o mas y cumple con todos los rerquisitos del mismo                                                                                                                                                                                                    
-</t>
    </r>
    <r>
      <rPr>
        <b/>
        <sz val="24"/>
        <rFont val="Calibri"/>
        <family val="2"/>
        <scheme val="minor"/>
      </rPr>
      <t xml:space="preserve"> Todos los equipos gratis aplicarán también a todas las lineas de los planes BUSINESS RED desde la 1 hasta 10</t>
    </r>
    <r>
      <rPr>
        <sz val="24"/>
        <rFont val="Calibri"/>
        <family val="2"/>
        <scheme val="minor"/>
      </rPr>
      <t xml:space="preserve">
- La oferta aplica en planes desde </t>
    </r>
    <r>
      <rPr>
        <sz val="24"/>
        <color rgb="FFFF0000"/>
        <rFont val="Calibri"/>
        <family val="2"/>
        <scheme val="minor"/>
      </rPr>
      <t>$50</t>
    </r>
    <r>
      <rPr>
        <sz val="24"/>
        <rFont val="Calibri"/>
        <family val="2"/>
        <scheme val="minor"/>
      </rPr>
      <t xml:space="preserve">
- Oferta valida en Financiamiento
</t>
    </r>
    <r>
      <rPr>
        <b/>
        <sz val="28"/>
        <color rgb="FF0070C0"/>
        <rFont val="Calibri"/>
        <family val="2"/>
        <scheme val="minor"/>
      </rPr>
      <t>Financiamiento- FIUP30</t>
    </r>
  </si>
  <si>
    <r>
      <rPr>
        <b/>
        <sz val="28"/>
        <rFont val="Calibri"/>
        <family val="2"/>
        <scheme val="minor"/>
      </rPr>
      <t>APLICA A LINEAS NUEVAS CON Y SIN PORTABILIDAD Y RENOVACIONES</t>
    </r>
    <r>
      <rPr>
        <sz val="28"/>
        <rFont val="Calibri"/>
        <family val="2"/>
        <scheme val="minor"/>
      </rPr>
      <t xml:space="preserve">
- Oferta </t>
    </r>
    <r>
      <rPr>
        <b/>
        <sz val="28"/>
        <color rgb="FFFF0000"/>
        <rFont val="Calibri"/>
        <family val="2"/>
        <scheme val="minor"/>
      </rPr>
      <t>NO</t>
    </r>
    <r>
      <rPr>
        <sz val="28"/>
        <rFont val="Calibri"/>
        <family val="2"/>
        <scheme val="minor"/>
      </rPr>
      <t xml:space="preserve"> Requiere la entrega de equipo selecto en Trade in SIN valorización
- Aunque los equipos estén en oferta, el cliente deberá pagar los taxes de todos los equipos que adquiera,  al momento de la activación.
- E</t>
    </r>
    <r>
      <rPr>
        <b/>
        <sz val="28"/>
        <rFont val="Calibri"/>
        <family val="2"/>
        <scheme val="minor"/>
      </rPr>
      <t xml:space="preserve">STA Oferta aplica solo a 30 PLAZOS. Créditos se comienzan a ver a partir de la 2nda factura.
-Apilca Bono de Streaming  si el cliente es convergente, el pago de equipo  es a 30 plazos o mas y cumple con todos los rerquisitos del mismo    
</t>
    </r>
    <r>
      <rPr>
        <b/>
        <sz val="28"/>
        <color rgb="FFFF0000"/>
        <rFont val="Calibri"/>
        <family val="2"/>
        <scheme val="minor"/>
      </rPr>
      <t xml:space="preserve">- Todos los equipos gratis aplicarán también a todas las lineas de los planes BUSINESS RED PLUS, RED EXTREME, SUPREME y RED SIN FRONTERAS desde la 1 hasta 10
</t>
    </r>
    <r>
      <rPr>
        <b/>
        <sz val="28"/>
        <rFont val="Calibri"/>
        <family val="2"/>
        <scheme val="minor"/>
      </rPr>
      <t>-La oferta aplica en planes desde $60</t>
    </r>
    <r>
      <rPr>
        <sz val="28"/>
        <rFont val="Calibri"/>
        <family val="2"/>
        <scheme val="minor"/>
      </rPr>
      <t xml:space="preserve">
- Oferta valida en Financiamiento
</t>
    </r>
    <r>
      <rPr>
        <b/>
        <sz val="28"/>
        <color rgb="FF0070C0"/>
        <rFont val="Calibri"/>
        <family val="2"/>
        <scheme val="minor"/>
      </rPr>
      <t xml:space="preserve">
Financiamiento- FIUP30</t>
    </r>
  </si>
  <si>
    <r>
      <rPr>
        <b/>
        <sz val="26"/>
        <rFont val="Calibri"/>
        <family val="2"/>
        <scheme val="minor"/>
      </rPr>
      <t>APLICA A LINEAS NUEVAS CON Y SIN PORTABILIDAD Y RENOVACIONES</t>
    </r>
    <r>
      <rPr>
        <sz val="26"/>
        <rFont val="Calibri"/>
        <family val="2"/>
        <scheme val="minor"/>
      </rPr>
      <t xml:space="preserve">
- Oferta </t>
    </r>
    <r>
      <rPr>
        <b/>
        <sz val="26"/>
        <color rgb="FFFF0000"/>
        <rFont val="Calibri"/>
        <family val="2"/>
        <scheme val="minor"/>
      </rPr>
      <t>NO</t>
    </r>
    <r>
      <rPr>
        <sz val="26"/>
        <rFont val="Calibri"/>
        <family val="2"/>
        <scheme val="minor"/>
      </rPr>
      <t xml:space="preserve"> Requiere la entrega de equipo selecto en Trade in SIN valorización
- Aunque los equipos estén en oferta, el cliente deberá pagar los taxes de todos los equipos que adquiera,  al momento de la activación.
- E</t>
    </r>
    <r>
      <rPr>
        <b/>
        <sz val="26"/>
        <rFont val="Calibri"/>
        <family val="2"/>
        <scheme val="minor"/>
      </rPr>
      <t xml:space="preserve">STA Oferta aplica solo a 30 PLAZOS. Créditos se comienzan a ver a partir de la 2nda factura.
-Apilca Bono de Streaming  si el cliente es convergente, el pago de equipo  es a 30 plazos o mas y cumple con todos los rerquisitos del mismo    
</t>
    </r>
    <r>
      <rPr>
        <b/>
        <sz val="26"/>
        <color rgb="FFFF0000"/>
        <rFont val="Calibri"/>
        <family val="2"/>
        <scheme val="minor"/>
      </rPr>
      <t xml:space="preserve">- Todos los equipos gratis aplicarán también a todas las lineas de los planes BUSINESS RED EXTREME, RED SUPREME y RED SIN FRONTERAS desde la 1 hasta 10
</t>
    </r>
    <r>
      <rPr>
        <b/>
        <sz val="26"/>
        <rFont val="Calibri"/>
        <family val="2"/>
        <scheme val="minor"/>
      </rPr>
      <t>-La oferta aplica en planes desde $75</t>
    </r>
    <r>
      <rPr>
        <sz val="26"/>
        <rFont val="Calibri"/>
        <family val="2"/>
        <scheme val="minor"/>
      </rPr>
      <t xml:space="preserve">
- Oferta valida en Financiamiento
</t>
    </r>
    <r>
      <rPr>
        <b/>
        <sz val="26"/>
        <color rgb="FF0070C0"/>
        <rFont val="Calibri"/>
        <family val="2"/>
        <scheme val="minor"/>
      </rPr>
      <t xml:space="preserve">
Financiamiento- FIOF30</t>
    </r>
  </si>
  <si>
    <r>
      <rPr>
        <b/>
        <sz val="24"/>
        <color rgb="FF0070C0"/>
        <rFont val="Calibri"/>
        <family val="2"/>
        <scheme val="minor"/>
      </rPr>
      <t xml:space="preserve">CLIENTE CON CREDITO B, C, E NO REQUIERE PAGO INIICIAL (DOWN PAYMENT)
CLIENTE CON CREDITO D, F, G REQUIRE PAGO INICIAL EN EQUIPOS SELECCIONADOS, Y EN RENOVACIONES SOLO CON TENURE (CLIENTE DE CLARO) DE 19 MESES O MENOS. 
</t>
    </r>
    <r>
      <rPr>
        <b/>
        <sz val="24"/>
        <rFont val="Calibri"/>
        <family val="2"/>
        <scheme val="minor"/>
      </rPr>
      <t>APLICA A LINEAS NUEVAS CON Y SIN PORTABILIDAD Y RENOVACIONES</t>
    </r>
    <r>
      <rPr>
        <sz val="24"/>
        <rFont val="Calibri"/>
        <family val="2"/>
        <scheme val="minor"/>
      </rPr>
      <t xml:space="preserve">
- Aunque los equipos estén en oferta, el cliente deberá pagar los taxes de todos los equipos que adquiera,  al momento de la activación.
Oferta no requiere trade in.
</t>
    </r>
    <r>
      <rPr>
        <b/>
        <sz val="24"/>
        <color rgb="FFFF0000"/>
        <rFont val="Calibri"/>
        <family val="2"/>
        <scheme val="minor"/>
      </rPr>
      <t xml:space="preserve">- </t>
    </r>
    <r>
      <rPr>
        <b/>
        <sz val="24"/>
        <rFont val="Calibri"/>
        <family val="2"/>
        <scheme val="minor"/>
      </rPr>
      <t>ESTA Oferta aplica solo a 30 PLAZOS. Créditos se comienzan a ver a partir de la 2nda factura.</t>
    </r>
    <r>
      <rPr>
        <sz val="24"/>
        <rFont val="Calibri"/>
        <family val="2"/>
        <scheme val="minor"/>
      </rPr>
      <t xml:space="preserve">
</t>
    </r>
    <r>
      <rPr>
        <b/>
        <sz val="24"/>
        <rFont val="Calibri"/>
        <family val="2"/>
        <scheme val="minor"/>
      </rPr>
      <t xml:space="preserve">-Apilca Bono de Streaming  si el cliente es convergente, el pago de equipo  es a 30 plazos o mas y cumple con todos los rerquisitos del mismo  </t>
    </r>
    <r>
      <rPr>
        <sz val="24"/>
        <rFont val="Calibri"/>
        <family val="2"/>
        <scheme val="minor"/>
      </rPr>
      <t xml:space="preserve">                                                                                                                                                                                                                                                         - </t>
    </r>
    <r>
      <rPr>
        <b/>
        <sz val="24"/>
        <rFont val="Calibri"/>
        <family val="2"/>
        <scheme val="minor"/>
      </rPr>
      <t>Todos los equipos gratis aplicarán también a todas las lineas de los planes BUSINESS RED desde la 1 hasta 10</t>
    </r>
    <r>
      <rPr>
        <sz val="24"/>
        <rFont val="Calibri"/>
        <family val="2"/>
        <scheme val="minor"/>
      </rPr>
      <t xml:space="preserve">
</t>
    </r>
    <r>
      <rPr>
        <b/>
        <sz val="24"/>
        <rFont val="Calibri"/>
        <family val="2"/>
        <scheme val="minor"/>
      </rPr>
      <t>- La oferta aplica en planes desde $50</t>
    </r>
    <r>
      <rPr>
        <sz val="24"/>
        <rFont val="Calibri"/>
        <family val="2"/>
        <scheme val="minor"/>
      </rPr>
      <t xml:space="preserve">
- Oferta valida en Financiamiento
</t>
    </r>
    <r>
      <rPr>
        <b/>
        <sz val="28"/>
        <color rgb="FF0070C0"/>
        <rFont val="Calibri"/>
        <family val="2"/>
        <scheme val="minor"/>
      </rPr>
      <t xml:space="preserve">
Financiamiento- FIUP30</t>
    </r>
  </si>
  <si>
    <r>
      <t>- Aplica solo para cliene existente que traiga lineas nuevas con o sin portabilidad.</t>
    </r>
    <r>
      <rPr>
        <b/>
        <sz val="26"/>
        <color theme="1"/>
        <rFont val="Calibri"/>
        <family val="2"/>
        <scheme val="minor"/>
      </rPr>
      <t xml:space="preserve">
 </t>
    </r>
    <r>
      <rPr>
        <b/>
        <sz val="26"/>
        <rFont val="Calibri"/>
        <family val="2"/>
        <scheme val="minor"/>
      </rPr>
      <t>- Oferta solo aplica en planes desde $40 para la linea nueva que traiga un cliente existente</t>
    </r>
    <r>
      <rPr>
        <sz val="26"/>
        <rFont val="Calibri"/>
        <family val="2"/>
        <scheme val="minor"/>
      </rPr>
      <t xml:space="preserve">
- </t>
    </r>
    <r>
      <rPr>
        <b/>
        <sz val="26"/>
        <rFont val="Calibri"/>
        <family val="2"/>
        <scheme val="minor"/>
      </rPr>
      <t xml:space="preserve"> Todos los equipos gratis aplicarán también a todas las lineas de los planes BUSINESS RED desde la 1 hasta 10</t>
    </r>
    <r>
      <rPr>
        <sz val="26"/>
        <rFont val="Calibri"/>
        <family val="2"/>
        <scheme val="minor"/>
      </rPr>
      <t xml:space="preserve">
</t>
    </r>
    <r>
      <rPr>
        <b/>
        <sz val="26"/>
        <rFont val="Calibri"/>
        <family val="2"/>
        <scheme val="minor"/>
      </rPr>
      <t xml:space="preserve">-Apilca Bono de Streaming  si el cliente es convergente, el pago de equipo  es a 30 plazos o mas y cumple con todos los rerquisitos del mismo </t>
    </r>
    <r>
      <rPr>
        <b/>
        <sz val="26"/>
        <color rgb="FFFF0000"/>
        <rFont val="Calibri"/>
        <family val="2"/>
        <scheme val="minor"/>
      </rPr>
      <t xml:space="preserve">  </t>
    </r>
    <r>
      <rPr>
        <sz val="26"/>
        <color theme="1"/>
        <rFont val="Calibri"/>
        <family val="2"/>
        <scheme val="minor"/>
      </rPr>
      <t xml:space="preserve">         
- Oferta solo aplica a 20, 24, 30 y 36 plazos en Financiamiento.
- Aunque los equipos estén en oferta, el cliente deberá pagar los taxes de todos los  equipos que adquiera, al momento de la activación.
- Aplican a Planes Claro Sin Fronteras.
</t>
    </r>
    <r>
      <rPr>
        <b/>
        <sz val="26"/>
        <color theme="1"/>
        <rFont val="Calibri"/>
        <family val="2"/>
        <scheme val="minor"/>
      </rPr>
      <t xml:space="preserve">- Price code a utilizar:
</t>
    </r>
    <r>
      <rPr>
        <b/>
        <sz val="28"/>
        <color theme="1"/>
        <rFont val="Calibri"/>
        <family val="2"/>
        <scheme val="minor"/>
      </rPr>
      <t xml:space="preserve">
</t>
    </r>
    <r>
      <rPr>
        <b/>
        <sz val="28"/>
        <color rgb="FF0070C0"/>
        <rFont val="Calibri"/>
        <family val="2"/>
        <scheme val="minor"/>
      </rPr>
      <t>Financiamiento- FIIP20, FIIP24, FIIP30, FIIP36</t>
    </r>
  </si>
  <si>
    <r>
      <rPr>
        <b/>
        <sz val="28"/>
        <rFont val="Calibri"/>
        <family val="2"/>
        <scheme val="minor"/>
      </rPr>
      <t>APLICA A LINEAS NUEVAS CON Y SIN PORTABILIDAD Y RENOVACIONES</t>
    </r>
    <r>
      <rPr>
        <sz val="28"/>
        <rFont val="Calibri"/>
        <family val="2"/>
        <scheme val="minor"/>
      </rPr>
      <t xml:space="preserve">
-NO  Requiere Trade in SIN valorización
- Aunque los equipos estén en oferta, el cliente deberá pagar los taxes de todos los equipos que adquiera,  al momento de la activación.
</t>
    </r>
    <r>
      <rPr>
        <b/>
        <sz val="28"/>
        <color rgb="FFFF0000"/>
        <rFont val="Calibri"/>
        <family val="2"/>
        <scheme val="minor"/>
      </rPr>
      <t>-</t>
    </r>
    <r>
      <rPr>
        <b/>
        <sz val="28"/>
        <rFont val="Calibri"/>
        <family val="2"/>
        <scheme val="minor"/>
      </rPr>
      <t xml:space="preserve"> ESTA Oferta aplica solo a 30 PLAZOS. Créditos se comienzan a ver a partir de la 2nda factura.</t>
    </r>
    <r>
      <rPr>
        <sz val="28"/>
        <rFont val="Calibri"/>
        <family val="2"/>
        <scheme val="minor"/>
      </rPr>
      <t xml:space="preserve">
</t>
    </r>
    <r>
      <rPr>
        <b/>
        <sz val="28"/>
        <rFont val="Calibri"/>
        <family val="2"/>
        <scheme val="minor"/>
      </rPr>
      <t xml:space="preserve">-Apilca Bono de Streaming  si el cliente es convergente, el pago de equipo  es a 30 plazos o mas y cumple con todos los rerquisitos del mismo
</t>
    </r>
    <r>
      <rPr>
        <sz val="28"/>
        <rFont val="Calibri"/>
        <family val="2"/>
        <scheme val="minor"/>
      </rPr>
      <t xml:space="preserve">- </t>
    </r>
    <r>
      <rPr>
        <b/>
        <sz val="28"/>
        <rFont val="Calibri"/>
        <family val="2"/>
        <scheme val="minor"/>
      </rPr>
      <t xml:space="preserve"> Todos los equipos gratis aplicarán también a todas las lineas de los planes BUSINESS RED desde la 1 hasta 10</t>
    </r>
    <r>
      <rPr>
        <sz val="28"/>
        <rFont val="Calibri"/>
        <family val="2"/>
        <scheme val="minor"/>
      </rPr>
      <t xml:space="preserve">
- La oferta aplica en planes desde </t>
    </r>
    <r>
      <rPr>
        <b/>
        <sz val="28"/>
        <color rgb="FFFF0000"/>
        <rFont val="Calibri"/>
        <family val="2"/>
        <scheme val="minor"/>
      </rPr>
      <t>$50</t>
    </r>
    <r>
      <rPr>
        <sz val="28"/>
        <color rgb="FFFF0000"/>
        <rFont val="Calibri"/>
        <family val="2"/>
        <scheme val="minor"/>
      </rPr>
      <t xml:space="preserve">
</t>
    </r>
    <r>
      <rPr>
        <sz val="28"/>
        <rFont val="Calibri"/>
        <family val="2"/>
        <scheme val="minor"/>
      </rPr>
      <t xml:space="preserve">- Oferta no requiere pago inicial 
- Oferta valida en Financiamiento
</t>
    </r>
    <r>
      <rPr>
        <b/>
        <sz val="24"/>
        <rFont val="Calibri"/>
        <family val="2"/>
        <scheme val="minor"/>
      </rPr>
      <t xml:space="preserve">
</t>
    </r>
    <r>
      <rPr>
        <b/>
        <sz val="48"/>
        <rFont val="Calibri"/>
        <family val="2"/>
        <scheme val="minor"/>
      </rPr>
      <t xml:space="preserve">PRICE CODE ESPECIAL PARA ESTA OFERTA SOLO A 30 MESES:
</t>
    </r>
    <r>
      <rPr>
        <sz val="48"/>
        <rFont val="Calibri"/>
        <family val="2"/>
        <scheme val="minor"/>
      </rPr>
      <t xml:space="preserve">
</t>
    </r>
    <r>
      <rPr>
        <b/>
        <sz val="48"/>
        <color rgb="FF0070C0"/>
        <rFont val="Calibri"/>
        <family val="2"/>
        <scheme val="minor"/>
      </rPr>
      <t>FINANCIAMIENTO:  FI50%</t>
    </r>
  </si>
  <si>
    <r>
      <t xml:space="preserve">
</t>
    </r>
    <r>
      <rPr>
        <b/>
        <sz val="28"/>
        <color rgb="FF0070C0"/>
        <rFont val="Calibri"/>
        <family val="2"/>
        <scheme val="minor"/>
      </rPr>
      <t xml:space="preserve">CLIENTE CON CREDITO B, C, E NO REQUIERE PAGO INIICIAL (DOWN PAYMENT)
CLIENTE CON CREDITO D, F, G REQUIRE PAGO INICIAL EN EQUIPOS SELECCIONADOS, Y EN RENOVACIONES SOLO CON TENURE (CLIENTE DE CLARO) DE 19 MESES O MENOS. 
</t>
    </r>
    <r>
      <rPr>
        <b/>
        <sz val="28"/>
        <rFont val="Calibri"/>
        <family val="2"/>
        <scheme val="minor"/>
      </rPr>
      <t xml:space="preserve">APLICA A LINEAS NUEVAS CON Y SIN PORTABILIDAD Y RENOVACIONES </t>
    </r>
    <r>
      <rPr>
        <sz val="28"/>
        <rFont val="Calibri"/>
        <family val="2"/>
        <scheme val="minor"/>
      </rPr>
      <t xml:space="preserve">
- Oferta Requiere la entrega de equipo selecto en Trade in SIN valorización
- Aunque los equipos estén en oferta, el cliente deberá pagar los taxes de todos los equipos que adquiera,  al momento de la activación.
</t>
    </r>
    <r>
      <rPr>
        <b/>
        <sz val="28"/>
        <rFont val="Calibri"/>
        <family val="2"/>
        <scheme val="minor"/>
      </rPr>
      <t>- ESTA Oferta aplica solo a 30 PLAZOS. Créditos se comienzan a ver a partir de la 2nda factura.</t>
    </r>
    <r>
      <rPr>
        <sz val="28"/>
        <rFont val="Calibri"/>
        <family val="2"/>
        <scheme val="minor"/>
      </rPr>
      <t xml:space="preserve">
</t>
    </r>
    <r>
      <rPr>
        <b/>
        <sz val="28"/>
        <rFont val="Calibri"/>
        <family val="2"/>
        <scheme val="minor"/>
      </rPr>
      <t xml:space="preserve">-Apilca Bono de Streaming  si el cliente es convergente, el pago de equipo  es a 30 plazos o mas y cumple con todos los rerquisitos del mismo              </t>
    </r>
    <r>
      <rPr>
        <sz val="28"/>
        <rFont val="Calibri"/>
        <family val="2"/>
        <scheme val="minor"/>
      </rPr>
      <t xml:space="preserve">                                                                                                                                                                                                           
</t>
    </r>
    <r>
      <rPr>
        <b/>
        <sz val="28"/>
        <color rgb="FFFF0000"/>
        <rFont val="Calibri"/>
        <family val="2"/>
        <scheme val="minor"/>
      </rPr>
      <t xml:space="preserve">- Todos los equipos gratis aplicarán también a todas las lineas de los planes BUSINESS RED PLUS, RED EXTREME, RED SUPREME y RED SIN FRONTERAS desde la 1 hasta 10
</t>
    </r>
    <r>
      <rPr>
        <sz val="28"/>
        <rFont val="Calibri"/>
        <family val="2"/>
        <scheme val="minor"/>
      </rPr>
      <t xml:space="preserve">- La oferta aplica en planes desde $60
- Oferta valida en  </t>
    </r>
    <r>
      <rPr>
        <sz val="36"/>
        <rFont val="Calibri"/>
        <family val="2"/>
        <scheme val="minor"/>
      </rPr>
      <t>Financiamiento</t>
    </r>
    <r>
      <rPr>
        <sz val="36"/>
        <color rgb="FF0070C0"/>
        <rFont val="Calibri"/>
        <family val="2"/>
        <scheme val="minor"/>
      </rPr>
      <t xml:space="preserve">
</t>
    </r>
    <r>
      <rPr>
        <b/>
        <sz val="48"/>
        <color rgb="FF0070C0"/>
        <rFont val="Calibri"/>
        <family val="2"/>
        <scheme val="minor"/>
      </rPr>
      <t>Financiamiento- FIUP30</t>
    </r>
  </si>
  <si>
    <r>
      <rPr>
        <b/>
        <sz val="24"/>
        <color rgb="FF0070C0"/>
        <rFont val="Calibri"/>
        <family val="2"/>
        <scheme val="minor"/>
      </rPr>
      <t xml:space="preserve">CLIENTE CON CREDITO B, C, E NO REQUIERE PAGO INIICIAL (DOWN PAYMENT)
CLIENTE CON CREDITO D, F, G REQUIRE PAGO INICIAL EN EQUIPOS SELECCIONADOS, Y EN RENOVACIONES SOLO CON TENURE (CLIENTE DE CLARO) DE 19 MESES O MENOS. 
</t>
    </r>
    <r>
      <rPr>
        <b/>
        <sz val="24"/>
        <rFont val="Calibri"/>
        <family val="2"/>
        <scheme val="minor"/>
      </rPr>
      <t>APLICA A LINEAS NUEVAS CON Y SIN PORTABILIDAD Y RENOVACIONES</t>
    </r>
    <r>
      <rPr>
        <sz val="24"/>
        <rFont val="Calibri"/>
        <family val="2"/>
        <scheme val="minor"/>
      </rPr>
      <t xml:space="preserve">
</t>
    </r>
    <r>
      <rPr>
        <b/>
        <sz val="36"/>
        <color rgb="FFFF0000"/>
        <rFont val="Calibri"/>
        <family val="2"/>
        <scheme val="minor"/>
      </rPr>
      <t>- Oferta  NO requiere la entrega de equipo selecto en Trade in SIN valorización</t>
    </r>
    <r>
      <rPr>
        <sz val="24"/>
        <rFont val="Calibri"/>
        <family val="2"/>
        <scheme val="minor"/>
      </rPr>
      <t xml:space="preserve">
- Aunque los equipos estén en oferta, el cliente deberá pagar los taxes de todos los equipos que adquiera,  al momento de la activación.
</t>
    </r>
    <r>
      <rPr>
        <b/>
        <sz val="24"/>
        <rFont val="Calibri"/>
        <family val="2"/>
        <scheme val="minor"/>
      </rPr>
      <t>- ESTA Oferta aplica solo a 30 PLAZOS. Créditos se comienzan a ver a partir de la 2nda factura.</t>
    </r>
    <r>
      <rPr>
        <sz val="24"/>
        <rFont val="Calibri"/>
        <family val="2"/>
        <scheme val="minor"/>
      </rPr>
      <t xml:space="preserve">
-</t>
    </r>
    <r>
      <rPr>
        <b/>
        <sz val="24"/>
        <rFont val="Calibri"/>
        <family val="2"/>
        <scheme val="minor"/>
      </rPr>
      <t xml:space="preserve">Apilca Bono de Streaming  si el cliente es convergente, el pago de equipo  es a 30 plazos o mas y cumple con todos los rerquisitos del mismo    
</t>
    </r>
    <r>
      <rPr>
        <b/>
        <sz val="24"/>
        <color rgb="FFFF0000"/>
        <rFont val="Calibri"/>
        <family val="2"/>
        <scheme val="minor"/>
      </rPr>
      <t>- Todos los equipos gratis aplicarán también a todas las lineas de los planes BUSINESS RED PLUS, RED EXTREME, RED SUPREME y RED SIN FRONTERAS desde la 1 hasta 10</t>
    </r>
    <r>
      <rPr>
        <sz val="24"/>
        <rFont val="Calibri"/>
        <family val="2"/>
        <scheme val="minor"/>
      </rPr>
      <t xml:space="preserve">
- La oferta aplica en planes desde $60
- Oferta valida en Financiamiento</t>
    </r>
    <r>
      <rPr>
        <b/>
        <sz val="28"/>
        <color rgb="FF0070C0"/>
        <rFont val="Calibri"/>
        <family val="2"/>
        <scheme val="minor"/>
      </rPr>
      <t xml:space="preserve">
Financiamiento- FIUP30</t>
    </r>
  </si>
  <si>
    <r>
      <t xml:space="preserve"> - Aplica  para cliente Nuevo, y Existentes que traigan líneas nuevas, con o sin portabilidad, o renueven
</t>
    </r>
    <r>
      <rPr>
        <sz val="20"/>
        <color rgb="FFFF0000"/>
        <rFont val="Calibri"/>
        <family val="2"/>
        <scheme val="minor"/>
      </rPr>
      <t>-</t>
    </r>
    <r>
      <rPr>
        <b/>
        <sz val="20"/>
        <color rgb="FFFF0000"/>
        <rFont val="Calibri"/>
        <family val="2"/>
        <scheme val="minor"/>
      </rPr>
      <t xml:space="preserve"> Con esta oferta de Equipos con 30%  de descuento No aplica Bono de Portabilidad SOLO en planes individuales sobre $50</t>
    </r>
    <r>
      <rPr>
        <sz val="20"/>
        <rFont val="Calibri"/>
        <family val="2"/>
        <scheme val="minor"/>
      </rPr>
      <t xml:space="preserve">
- Aplican los mismos términos y condiciones del equipo a 30%,  </t>
    </r>
    <r>
      <rPr>
        <b/>
        <sz val="20"/>
        <rFont val="Calibri"/>
        <family val="2"/>
        <scheme val="minor"/>
      </rPr>
      <t>NO</t>
    </r>
    <r>
      <rPr>
        <sz val="20"/>
        <rFont val="Calibri"/>
        <family val="2"/>
        <scheme val="minor"/>
      </rPr>
      <t xml:space="preserve"> requiere Down Payment y no requiere trade in sin valorización (ver boletín de términos y condiciones para detalles).
- Aplican a todas las líneas de los planes multilíneas Business RED de la 1 hasta la 10.
 - Oferta </t>
    </r>
    <r>
      <rPr>
        <b/>
        <sz val="20"/>
        <rFont val="Calibri"/>
        <family val="2"/>
        <scheme val="minor"/>
      </rPr>
      <t>NO</t>
    </r>
    <r>
      <rPr>
        <sz val="20"/>
        <rFont val="Calibri"/>
        <family val="2"/>
        <scheme val="minor"/>
      </rPr>
      <t xml:space="preserve"> requiere la entrega de equipo selecto en Trade in sin valorización
- ESTA Oferta aplica  solo a plazos de 20, 24, 30 o 36.
</t>
    </r>
    <r>
      <rPr>
        <b/>
        <sz val="20"/>
        <color rgb="FFFF0000"/>
        <rFont val="Calibri"/>
        <family val="2"/>
        <scheme val="minor"/>
      </rPr>
      <t xml:space="preserve">-Apilca Bono de Streaming  si el cliente es convergente, el pago de equipo  es a 30 plazos o mas y cumple con todos los rerquisitos del  mismo. </t>
    </r>
    <r>
      <rPr>
        <sz val="20"/>
        <rFont val="Calibri"/>
        <family val="2"/>
        <scheme val="minor"/>
      </rPr>
      <t xml:space="preserve">
- Oferta aplica en  Financiamiento</t>
    </r>
  </si>
  <si>
    <r>
      <t xml:space="preserve"> - Aplica a portabilidades, líneas nuevas y renovaciones.
</t>
    </r>
    <r>
      <rPr>
        <sz val="20"/>
        <color rgb="FFFF0000"/>
        <rFont val="Calibri"/>
        <family val="2"/>
        <scheme val="minor"/>
      </rPr>
      <t xml:space="preserve">- </t>
    </r>
    <r>
      <rPr>
        <b/>
        <sz val="20"/>
        <color rgb="FFFF0000"/>
        <rFont val="Calibri"/>
        <family val="2"/>
        <scheme val="minor"/>
      </rPr>
      <t>Con esta oferta de Equipos con 50%  de descuento SI aplica Bono de Portabilidad SOLO en planes individuales sobre $50</t>
    </r>
    <r>
      <rPr>
        <sz val="20"/>
        <color theme="1"/>
        <rFont val="Calibri"/>
        <family val="2"/>
        <scheme val="minor"/>
      </rPr>
      <t xml:space="preserve">
- El cliente deberá pagar mensualmente la renta del plan y el remanente del installment del equipo luego del descuento de 50%.
- Aunque los equipos estén en oferta, el cliente deberá pagar los taxes de todos los equipos que adquiera,  al momento de la activación.
</t>
    </r>
    <r>
      <rPr>
        <b/>
        <sz val="20"/>
        <color theme="1"/>
        <rFont val="Calibri"/>
        <family val="2"/>
        <scheme val="minor"/>
      </rPr>
      <t>-</t>
    </r>
    <r>
      <rPr>
        <b/>
        <sz val="20"/>
        <color rgb="FFFF0000"/>
        <rFont val="Calibri"/>
        <family val="2"/>
        <scheme val="minor"/>
      </rPr>
      <t xml:space="preserve"> ESTA Oferta solo aplica a 24 plazos en Financiamiento.</t>
    </r>
    <r>
      <rPr>
        <sz val="20"/>
        <color theme="1"/>
        <rFont val="Calibri"/>
        <family val="2"/>
        <scheme val="minor"/>
      </rPr>
      <t xml:space="preserve">
</t>
    </r>
    <r>
      <rPr>
        <b/>
        <sz val="20"/>
        <color rgb="FFFF0000"/>
        <rFont val="Calibri"/>
        <family val="2"/>
        <scheme val="minor"/>
      </rPr>
      <t xml:space="preserve">-NO Apilca Bono de Streaming 
</t>
    </r>
    <r>
      <rPr>
        <sz val="20"/>
        <color theme="1"/>
        <rFont val="Calibri"/>
        <family val="2"/>
        <scheme val="minor"/>
      </rPr>
      <t>- Aplican a todas las líneas de los planes multilíneas Business  RED.
- Aplica a planes Sin Frontera</t>
    </r>
  </si>
  <si>
    <r>
      <t xml:space="preserve"> - Aplica a portabilidades, líneas nuevas y renovaciones.
</t>
    </r>
    <r>
      <rPr>
        <sz val="20"/>
        <color rgb="FFFF0000"/>
        <rFont val="Calibri"/>
        <family val="2"/>
        <scheme val="minor"/>
      </rPr>
      <t xml:space="preserve">- </t>
    </r>
    <r>
      <rPr>
        <b/>
        <sz val="20"/>
        <color rgb="FFFF0000"/>
        <rFont val="Calibri"/>
        <family val="2"/>
        <scheme val="minor"/>
      </rPr>
      <t>Con esta oferta de Equipos con 56.36%  de descuento SI aplica Bono de Portabilidad SOLO en planes individuales desde $50</t>
    </r>
    <r>
      <rPr>
        <sz val="20"/>
        <color theme="1"/>
        <rFont val="Calibri"/>
        <family val="2"/>
        <scheme val="minor"/>
      </rPr>
      <t xml:space="preserve">
- El cliente deberá pagar mensualmente la renta del plan y el remanente del installment del equipo luego del descuento de 50%.
- Aunque los equipos estén en oferta, el cliente deberá pagar los taxes de todos los equipos que adquiera,  al momento de la activación.
</t>
    </r>
    <r>
      <rPr>
        <b/>
        <sz val="20"/>
        <color rgb="FFFF0000"/>
        <rFont val="Calibri"/>
        <family val="2"/>
        <scheme val="minor"/>
      </rPr>
      <t>- ESTA Oferta solo aplica a 24 plazos en Financiamiento.</t>
    </r>
    <r>
      <rPr>
        <sz val="20"/>
        <color theme="1"/>
        <rFont val="Calibri"/>
        <family val="2"/>
        <scheme val="minor"/>
      </rPr>
      <t xml:space="preserve">
</t>
    </r>
    <r>
      <rPr>
        <b/>
        <sz val="20"/>
        <color rgb="FFFF0000"/>
        <rFont val="Calibri"/>
        <family val="2"/>
        <scheme val="minor"/>
      </rPr>
      <t xml:space="preserve">-Apilca Bono de Streaming  si el cliente es convergente, el pago de equipo  es a 30 plazos o mas y cumple con todos los rerquisitos del  mismo. 
</t>
    </r>
    <r>
      <rPr>
        <sz val="20"/>
        <color theme="1"/>
        <rFont val="Calibri"/>
        <family val="2"/>
        <scheme val="minor"/>
      </rPr>
      <t>- Aplican a todas las líneas de los planes multlíneas Business RED.
- Aplica a planes Sin Frontera</t>
    </r>
  </si>
  <si>
    <r>
      <t xml:space="preserve"> -15% Aplica a lineas nuevas sin portabilidad y a renovaciones 
</t>
    </r>
    <r>
      <rPr>
        <b/>
        <sz val="20"/>
        <color rgb="FFFF0000"/>
        <rFont val="Calibri"/>
        <family val="2"/>
        <scheme val="minor"/>
      </rPr>
      <t xml:space="preserve"> - Con esta oferta de 10% de descuento en equipos en liquidacion NO APLICA el Bono de Portabilidad SOLO en planes individuales desde $50</t>
    </r>
    <r>
      <rPr>
        <b/>
        <sz val="20"/>
        <color theme="1"/>
        <rFont val="Calibri"/>
        <family val="2"/>
        <scheme val="minor"/>
      </rPr>
      <t xml:space="preserve">
 - </t>
    </r>
    <r>
      <rPr>
        <sz val="20"/>
        <color theme="1"/>
        <rFont val="Calibri"/>
        <family val="2"/>
        <scheme val="minor"/>
      </rPr>
      <t xml:space="preserve">El cliente debera pagar mensualmente la renta del plan y el remanente del installment que le aplique.
- Aunque el equipo este en oferta, el cliente deberá pagar los impuestos del precio regular del equipo que adquiera al momento del activacion.
- Aplican los mismos términos y condiciones del equipo a 10% (ver boletín de términos y condiciones para detalles).
 - Oferta aplica en  Financiamiento
- Aplican a todas las líneas de los planes multilíneas Business RED.
 - Oferta NO require trade in sin valorizacion
-Descuento de 10% en estos equipos aplica solo plazo de 20, 24, 30 y 36 meses 
</t>
    </r>
    <r>
      <rPr>
        <b/>
        <sz val="20"/>
        <color rgb="FFFF0000"/>
        <rFont val="Calibri"/>
        <family val="2"/>
        <scheme val="minor"/>
      </rPr>
      <t xml:space="preserve">-Apilca Bono de Streaming  si el cliente es convergente, el pago de equipo  es a 30 plazos o mas y cumple con todos los rerquisitos del mismo       </t>
    </r>
  </si>
  <si>
    <r>
      <t>Planes desde</t>
    </r>
    <r>
      <rPr>
        <b/>
        <sz val="26"/>
        <rFont val="Calibri"/>
        <family val="2"/>
        <scheme val="minor"/>
      </rPr>
      <t xml:space="preserve"> </t>
    </r>
    <r>
      <rPr>
        <b/>
        <sz val="26"/>
        <color rgb="FFFF0000"/>
        <rFont val="Calibri"/>
        <family val="2"/>
        <scheme val="minor"/>
      </rPr>
      <t>$50</t>
    </r>
  </si>
  <si>
    <t>Ahora aplica tanto a clientes  CONVERGENTES y NO CONVERGENTES si se acojen a planes desde $50.</t>
  </si>
  <si>
    <t>Bono Portabilidad $150</t>
  </si>
  <si>
    <r>
      <t xml:space="preserve">- Aplica a portabilidades, líneas nuevas y a clientes existentes que traigan 1 o más líneas nuevas adicionales, en estos casos el descuento siempre aplica por la línea nueva.                                                                                            
</t>
    </r>
    <r>
      <rPr>
        <b/>
        <sz val="22"/>
        <rFont val="Calibri"/>
        <family val="2"/>
        <scheme val="minor"/>
      </rPr>
      <t xml:space="preserve">-Aplica sólo a clientes convergentes.   </t>
    </r>
    <r>
      <rPr>
        <sz val="22"/>
        <rFont val="Calibri"/>
        <family val="2"/>
        <scheme val="minor"/>
      </rPr>
      <t xml:space="preserve">                                                                                                                                                             
</t>
    </r>
    <r>
      <rPr>
        <b/>
        <sz val="22"/>
        <rFont val="Calibri"/>
        <family val="2"/>
        <scheme val="minor"/>
      </rPr>
      <t>-</t>
    </r>
    <r>
      <rPr>
        <b/>
        <sz val="26"/>
        <rFont val="Calibri"/>
        <family val="2"/>
        <scheme val="minor"/>
      </rPr>
      <t>Nuevo</t>
    </r>
    <r>
      <rPr>
        <b/>
        <sz val="22"/>
        <rFont val="Calibri"/>
        <family val="2"/>
        <scheme val="minor"/>
      </rPr>
      <t xml:space="preserve"> Solo aplica a clientes convergentes que tengan una combinacion de dos de los servicios de Claro (Movil, Fijo, Claro TV). Ver los NUEVOS Terminos y Condiciones del Bono Streaming en el boletin. </t>
    </r>
    <r>
      <rPr>
        <sz val="22"/>
        <rFont val="Calibri"/>
        <family val="2"/>
        <scheme val="minor"/>
      </rPr>
      <t xml:space="preserve">
- Solo aplica un descuento de $10.00 por BAN. El descuento tendrá una duración de 12 meses en la cuenta del cliente.
Si el cliente cancela una de las líneas y su cuenta queda con una sola línea, automáticamente perderá el beneficio del descuento.
-Cliente debe solicitar el rembolso a su vendedor quien le proveerá la solicitud. Esta debe ser enviada a traves del email  </t>
    </r>
    <r>
      <rPr>
        <b/>
        <sz val="22"/>
        <rFont val="Calibri"/>
        <family val="2"/>
        <scheme val="minor"/>
      </rPr>
      <t>Servicio_BCC@claropr.com</t>
    </r>
    <r>
      <rPr>
        <sz val="22"/>
        <rFont val="Calibri"/>
        <family val="2"/>
        <scheme val="minor"/>
      </rPr>
      <t xml:space="preserve"> o por correo postal. El vendedor </t>
    </r>
    <r>
      <rPr>
        <b/>
        <sz val="22"/>
        <rFont val="Calibri"/>
        <family val="2"/>
        <scheme val="minor"/>
      </rPr>
      <t>NO</t>
    </r>
    <r>
      <rPr>
        <sz val="22"/>
        <rFont val="Calibri"/>
        <family val="2"/>
        <scheme val="minor"/>
      </rPr>
      <t xml:space="preserve"> aplicará el bono en la tienda. </t>
    </r>
  </si>
  <si>
    <t>no aplica porque ya es gratis desde $20</t>
  </si>
  <si>
    <t xml:space="preserve"> OFERTAS DE EQUIPOS EN LIQUIDACIÓN DEL  3 AL 31 DE OCTUBRE DE 2024- APLICA A CANAL PYMES Y CORPORATIVO
FINANCIAMIENTO</t>
  </si>
  <si>
    <r>
      <t xml:space="preserve">- Aplica a portabilidades, líneas nuevas y renovaciones.                                               
- </t>
    </r>
    <r>
      <rPr>
        <b/>
        <sz val="22"/>
        <rFont val="Calibri"/>
        <family val="2"/>
        <scheme val="minor"/>
      </rPr>
      <t xml:space="preserve">Todos los equipos gratis aplicarán también a todas las lineas de los planes BUSINESS RED desde la 1 hasta 10 </t>
    </r>
    <r>
      <rPr>
        <sz val="22"/>
        <rFont val="Calibri"/>
        <family val="2"/>
        <scheme val="minor"/>
      </rPr>
      <t xml:space="preserve">
- Oferta solo aplica a 24 plazos en Financiamiento.
- Aunque los equipos estén en oferta, el cliente deberá pagar los taxes de todos los  equipos que adquiera, al momento de la activación.
- Aplican a todas las líneas de los planes multilíneas Business  RED.
- Aplican a Planes Claro Sin Fronteras. 
</t>
    </r>
    <r>
      <rPr>
        <b/>
        <sz val="22"/>
        <rFont val="Calibri"/>
        <family val="2"/>
        <scheme val="minor"/>
      </rPr>
      <t xml:space="preserve">- No Apilca Bono de Streaming </t>
    </r>
    <r>
      <rPr>
        <sz val="22"/>
        <rFont val="Calibri"/>
        <family val="2"/>
        <scheme val="minor"/>
      </rPr>
      <t xml:space="preserve">
los Price Code a usar son:
</t>
    </r>
    <r>
      <rPr>
        <b/>
        <sz val="22"/>
        <color rgb="FF0066FF"/>
        <rFont val="Calibri"/>
        <family val="2"/>
        <scheme val="minor"/>
      </rPr>
      <t>Financiamiento- FIUP24</t>
    </r>
  </si>
  <si>
    <r>
      <rPr>
        <b/>
        <sz val="26"/>
        <color rgb="FFFF0000"/>
        <rFont val="Calibri"/>
        <family val="2"/>
        <scheme val="minor"/>
      </rPr>
      <t xml:space="preserve"> - No Aplica</t>
    </r>
    <r>
      <rPr>
        <b/>
        <sz val="26"/>
        <color theme="1"/>
        <rFont val="Calibri"/>
        <family val="2"/>
        <scheme val="minor"/>
      </rPr>
      <t xml:space="preserve">  - Bono de Streaming.</t>
    </r>
  </si>
  <si>
    <t>MOTOROLA MOTO G PLAY 2024</t>
  </si>
  <si>
    <t>Moto G Play 2024</t>
  </si>
  <si>
    <t xml:space="preserve">No aplica porque ese equipo tiene 50% de descuento en planes de $50 en adelante sin Trade In </t>
  </si>
  <si>
    <t>iPhone 16 128GB</t>
  </si>
  <si>
    <r>
      <t xml:space="preserve"> '</t>
    </r>
    <r>
      <rPr>
        <b/>
        <sz val="22"/>
        <color rgb="FFFF0000"/>
        <rFont val="Calibri"/>
        <family val="2"/>
        <scheme val="minor"/>
      </rPr>
      <t xml:space="preserve">-Hasta $800 para el saldo del balance pendiente de su equipo y accesorios con la competencia al portar su número a Claro. </t>
    </r>
    <r>
      <rPr>
        <sz val="22"/>
        <rFont val="Calibri"/>
        <family val="2"/>
        <scheme val="minor"/>
      </rPr>
      <t xml:space="preserve">
 El cliente tiene dos opciones de activación:
1. Financiamiento: Adquiere un nuevo equipo mediante un plan de pago a plazos de 24, 30 o 36 meses. 
2. Bring Your Own Phone (BYOP): El cliente trae su propio dispositivo, siempre que esté desbloqueado y sea compatible con la red de Claro. El dispositivo debe estar desbloqueado antes de la portabilidad del número.</t>
    </r>
    <r>
      <rPr>
        <b/>
        <sz val="22"/>
        <color rgb="FFFF0000"/>
        <rFont val="Calibri"/>
        <family val="2"/>
        <scheme val="minor"/>
      </rPr>
      <t xml:space="preserve">
</t>
    </r>
    <r>
      <rPr>
        <sz val="22"/>
        <rFont val="Calibri"/>
        <family val="2"/>
        <scheme val="minor"/>
      </rPr>
      <t xml:space="preserve">-Pago de hasta $800 acreditados en la factura o pagados mediante cheque.
-Maximo de hasta 5 líneas.
 -Cliente tiene hasta </t>
    </r>
    <r>
      <rPr>
        <b/>
        <sz val="22"/>
        <color rgb="FFFF0000"/>
        <rFont val="Calibri"/>
        <family val="2"/>
        <scheme val="minor"/>
      </rPr>
      <t xml:space="preserve">60 dias calendario </t>
    </r>
    <r>
      <rPr>
        <sz val="22"/>
        <rFont val="Calibri"/>
        <family val="2"/>
        <scheme val="minor"/>
      </rPr>
      <t xml:space="preserve">a partir de la contratación de servicios para solicitar el reembolso de la penalidad conforme al procedimiento establecido. 
 -Cliente debe solicitar el rembolso a su vendedor quien le proveerá la solicitud. Esta debe ser enviada a traves del email  </t>
    </r>
    <r>
      <rPr>
        <b/>
        <sz val="22"/>
        <color rgb="FFFF0000"/>
        <rFont val="Calibri"/>
        <family val="2"/>
        <scheme val="minor"/>
      </rPr>
      <t>Servicio_BCC@claropr.com</t>
    </r>
    <r>
      <rPr>
        <sz val="22"/>
        <rFont val="Calibri"/>
        <family val="2"/>
        <scheme val="minor"/>
      </rPr>
      <t xml:space="preserve"> o por correo postal.
 -Solo se pagará el cargo por balance de equipo y/o accesorios, no balances pendientes ni impuestos.                                                                                         
 -Referirse a boletín de Procedimiento 2024-VVM-016.</t>
    </r>
  </si>
  <si>
    <r>
      <rPr>
        <sz val="14"/>
        <rFont val="Calibri"/>
        <family val="2"/>
      </rPr>
      <t>VOLTE</t>
    </r>
    <r>
      <rPr>
        <sz val="14"/>
        <rFont val="Calibri"/>
        <family val="2"/>
        <scheme val="minor"/>
      </rPr>
      <t xml:space="preserve"> </t>
    </r>
    <r>
      <rPr>
        <sz val="14"/>
        <color theme="1"/>
        <rFont val="Calibri"/>
        <family val="2"/>
        <scheme val="minor"/>
      </rPr>
      <t xml:space="preserve">-Voz local ilimitada, SMS/MMS en PR, a US, </t>
    </r>
    <r>
      <rPr>
        <sz val="14"/>
        <color rgb="FFFF0000"/>
        <rFont val="Calibri"/>
        <family val="2"/>
      </rPr>
      <t>Mejico, Canada</t>
    </r>
    <r>
      <rPr>
        <sz val="14"/>
        <color theme="1"/>
        <rFont val="Calibri"/>
        <family val="2"/>
        <scheme val="minor"/>
      </rPr>
      <t xml:space="preserve"> y a ciertos destinos INT, SMS/MMS roaming en USA, </t>
    </r>
    <r>
      <rPr>
        <sz val="14"/>
        <color rgb="FFFF0000"/>
        <rFont val="Calibri"/>
        <family val="2"/>
      </rPr>
      <t>Mejico y Canada</t>
    </r>
    <r>
      <rPr>
        <sz val="14"/>
        <color theme="1"/>
        <rFont val="Calibri"/>
        <family val="2"/>
        <scheme val="minor"/>
      </rPr>
      <t xml:space="preserve">, LD ilimitado a USA, </t>
    </r>
    <r>
      <rPr>
        <b/>
        <sz val="14"/>
        <color rgb="FFFF0000"/>
        <rFont val="Calibri"/>
        <family val="2"/>
        <scheme val="minor"/>
      </rPr>
      <t>100 minutos de Larga Distancia Internacional</t>
    </r>
    <r>
      <rPr>
        <b/>
        <sz val="14"/>
        <color rgb="FFFF0000"/>
        <rFont val="Calibri"/>
        <family val="2"/>
      </rPr>
      <t>,</t>
    </r>
    <r>
      <rPr>
        <sz val="14"/>
        <color theme="1"/>
        <rFont val="Calibri"/>
        <family val="2"/>
        <scheme val="minor"/>
      </rPr>
      <t xml:space="preserve"> Roaming ilimitado en USA,</t>
    </r>
    <r>
      <rPr>
        <sz val="14"/>
        <color rgb="FFFF0000"/>
        <rFont val="Calibri"/>
        <family val="2"/>
      </rPr>
      <t xml:space="preserve"> Mejico y Canada </t>
    </r>
    <r>
      <rPr>
        <sz val="14"/>
        <color theme="1"/>
        <rFont val="Calibri"/>
        <family val="2"/>
        <scheme val="minor"/>
      </rPr>
      <t xml:space="preserve">y Data ilimitada en PR, USA, </t>
    </r>
    <r>
      <rPr>
        <sz val="14"/>
        <color rgb="FFFF0000"/>
        <rFont val="Calibri"/>
        <family val="2"/>
      </rPr>
      <t>Mejico y Canada</t>
    </r>
    <r>
      <rPr>
        <sz val="14"/>
        <color theme="1"/>
        <rFont val="Calibri"/>
        <family val="2"/>
        <scheme val="minor"/>
      </rPr>
      <t xml:space="preserve"> </t>
    </r>
    <r>
      <rPr>
        <b/>
        <sz val="14"/>
        <color rgb="FF000000"/>
        <rFont val="Calibri"/>
        <family val="2"/>
      </rPr>
      <t>(sin reduccion)</t>
    </r>
    <r>
      <rPr>
        <sz val="14"/>
        <color theme="1"/>
        <rFont val="Calibri"/>
        <family val="2"/>
        <scheme val="minor"/>
      </rPr>
      <t xml:space="preserve"> </t>
    </r>
    <r>
      <rPr>
        <b/>
        <sz val="14"/>
        <color rgb="FFFF0000"/>
        <rFont val="Calibri"/>
        <family val="2"/>
      </rPr>
      <t xml:space="preserve">HOTSPOT 100GB </t>
    </r>
    <r>
      <rPr>
        <b/>
        <sz val="14"/>
        <rFont val="Calibri"/>
        <family val="2"/>
      </rPr>
      <t>//  (PERMITE MOVIL Y BANDA ANCHA)</t>
    </r>
  </si>
  <si>
    <r>
      <t xml:space="preserve">Voz local ilimitada, SMS/MMS en PR, a US, </t>
    </r>
    <r>
      <rPr>
        <sz val="11"/>
        <color rgb="FFFF0000"/>
        <rFont val="Calibri"/>
        <family val="2"/>
        <scheme val="minor"/>
      </rPr>
      <t>Méjico, Canadá</t>
    </r>
    <r>
      <rPr>
        <sz val="11"/>
        <color theme="1"/>
        <rFont val="Calibri"/>
        <family val="2"/>
        <scheme val="minor"/>
      </rPr>
      <t xml:space="preserve"> y a ciertos destinos INT, SMS/MMS roaming en USA, </t>
    </r>
    <r>
      <rPr>
        <sz val="11"/>
        <color rgb="FFFF0000"/>
        <rFont val="Calibri"/>
        <family val="2"/>
        <scheme val="minor"/>
      </rPr>
      <t>Méjico y Canadá</t>
    </r>
    <r>
      <rPr>
        <sz val="11"/>
        <color theme="1"/>
        <rFont val="Calibri"/>
        <family val="2"/>
        <scheme val="minor"/>
      </rPr>
      <t xml:space="preserve">, LD ilimitado a USA, </t>
    </r>
    <r>
      <rPr>
        <b/>
        <sz val="11"/>
        <color rgb="FFFF0000"/>
        <rFont val="Calibri"/>
        <family val="2"/>
        <scheme val="minor"/>
      </rPr>
      <t>100 minutos de Larga Distancia Internacional,</t>
    </r>
    <r>
      <rPr>
        <sz val="11"/>
        <color theme="1"/>
        <rFont val="Calibri"/>
        <family val="2"/>
        <scheme val="minor"/>
      </rPr>
      <t xml:space="preserve"> Roaming ilimitado en USA, </t>
    </r>
    <r>
      <rPr>
        <sz val="11"/>
        <color rgb="FFFF0000"/>
        <rFont val="Calibri"/>
        <family val="2"/>
        <scheme val="minor"/>
      </rPr>
      <t>Méjico y Canadá</t>
    </r>
    <r>
      <rPr>
        <sz val="11"/>
        <color theme="1"/>
        <rFont val="Calibri"/>
        <family val="2"/>
        <scheme val="minor"/>
      </rPr>
      <t xml:space="preserve"> y Data ilimitada en PR, USA, </t>
    </r>
    <r>
      <rPr>
        <sz val="11"/>
        <color rgb="FFFF0000"/>
        <rFont val="Calibri"/>
        <family val="2"/>
        <scheme val="minor"/>
      </rPr>
      <t>Méjico y Canadá</t>
    </r>
    <r>
      <rPr>
        <sz val="11"/>
        <color theme="1"/>
        <rFont val="Calibri"/>
        <family val="2"/>
        <scheme val="minor"/>
      </rPr>
      <t xml:space="preserve"> </t>
    </r>
    <r>
      <rPr>
        <b/>
        <sz val="11"/>
        <color theme="1"/>
        <rFont val="Calibri"/>
        <family val="2"/>
        <scheme val="minor"/>
      </rPr>
      <t>(Sin Reducción)</t>
    </r>
    <r>
      <rPr>
        <sz val="11"/>
        <color theme="1"/>
        <rFont val="Calibri"/>
        <family val="2"/>
        <scheme val="minor"/>
      </rPr>
      <t xml:space="preserve"> // </t>
    </r>
    <r>
      <rPr>
        <b/>
        <sz val="11"/>
        <color theme="1"/>
        <rFont val="Calibri"/>
        <family val="2"/>
        <scheme val="minor"/>
      </rPr>
      <t>PLAN MULTILÍNEAS HASTA 10 LINEAS (PERMITE MOVIL Y BANDA ANCHA)</t>
    </r>
    <r>
      <rPr>
        <sz val="11"/>
        <color theme="1"/>
        <rFont val="Calibri"/>
        <family val="2"/>
        <scheme val="minor"/>
      </rPr>
      <t xml:space="preserve">// </t>
    </r>
    <r>
      <rPr>
        <b/>
        <sz val="11"/>
        <color rgb="FFFF0000"/>
        <rFont val="Calibri"/>
        <family val="2"/>
        <scheme val="minor"/>
      </rPr>
      <t>HOTSPOT 100GB</t>
    </r>
  </si>
  <si>
    <t>Moto Edge 2024</t>
  </si>
  <si>
    <t>SAMSUNG</t>
  </si>
  <si>
    <t>Galaxy A16</t>
  </si>
  <si>
    <t>SAMSUNG GALAXY S25</t>
  </si>
  <si>
    <t>GALAXY S25+</t>
  </si>
  <si>
    <t>iPhone</t>
  </si>
  <si>
    <t>GALAXY S25 ULTRA</t>
  </si>
  <si>
    <t>iPhone 16e</t>
  </si>
  <si>
    <t>No aplica porque ese equipo tiene 50% de descuento en planes de $50 en adelante sin Trade In o  gratis desde $60 sin Trade In</t>
  </si>
  <si>
    <t>Galaxy A36</t>
  </si>
  <si>
    <t xml:space="preserve">MOTOROLA </t>
  </si>
  <si>
    <t>RAZR 2024</t>
  </si>
  <si>
    <t>Galaxy A26</t>
  </si>
  <si>
    <r>
      <t xml:space="preserve"> - $35 </t>
    </r>
    <r>
      <rPr>
        <b/>
        <sz val="26"/>
        <color rgb="FFFF0000"/>
        <rFont val="Calibri"/>
        <family val="2"/>
        <scheme val="minor"/>
      </rPr>
      <t xml:space="preserve">con 35GB
</t>
    </r>
    <r>
      <rPr>
        <b/>
        <sz val="26"/>
        <rFont val="Calibri"/>
        <family val="2"/>
        <scheme val="minor"/>
      </rPr>
      <t xml:space="preserve"> - $40 </t>
    </r>
    <r>
      <rPr>
        <b/>
        <sz val="26"/>
        <color rgb="FFFF0000"/>
        <rFont val="Calibri"/>
        <family val="2"/>
        <scheme val="minor"/>
      </rPr>
      <t>con 50GB</t>
    </r>
    <r>
      <rPr>
        <b/>
        <sz val="26"/>
        <rFont val="Calibri"/>
        <family val="2"/>
        <scheme val="minor"/>
      </rPr>
      <t xml:space="preserve">
 - $45 </t>
    </r>
    <r>
      <rPr>
        <b/>
        <sz val="26"/>
        <color rgb="FFFF0000"/>
        <rFont val="Calibri"/>
        <family val="2"/>
        <scheme val="minor"/>
      </rPr>
      <t>con 60GB</t>
    </r>
  </si>
  <si>
    <t>$35- RED3535
$40- RED4050
$45- RED4560</t>
  </si>
  <si>
    <r>
      <t xml:space="preserve"> Voz local ilimitada, SMS/MMS en PR, a US, </t>
    </r>
    <r>
      <rPr>
        <sz val="11"/>
        <color rgb="FFFF0000"/>
        <rFont val="Calibri"/>
        <family val="2"/>
        <scheme val="minor"/>
      </rPr>
      <t>Mejico, Canada</t>
    </r>
    <r>
      <rPr>
        <sz val="11"/>
        <color theme="1"/>
        <rFont val="Calibri"/>
        <family val="2"/>
        <scheme val="minor"/>
      </rPr>
      <t xml:space="preserve"> y a ciertos destinos INT, SMS/MMS roaming en USA, </t>
    </r>
    <r>
      <rPr>
        <sz val="11"/>
        <color rgb="FFFF0000"/>
        <rFont val="Calibri"/>
        <family val="2"/>
        <scheme val="minor"/>
      </rPr>
      <t>Mejico y Canada</t>
    </r>
    <r>
      <rPr>
        <sz val="11"/>
        <color theme="1"/>
        <rFont val="Calibri"/>
        <family val="2"/>
        <scheme val="minor"/>
      </rPr>
      <t xml:space="preserve">, LD ilimitado a USA, </t>
    </r>
    <r>
      <rPr>
        <sz val="11"/>
        <color rgb="FFFF0000"/>
        <rFont val="Calibri"/>
        <family val="2"/>
        <scheme val="minor"/>
      </rPr>
      <t>Mejico y Canada,</t>
    </r>
    <r>
      <rPr>
        <sz val="11"/>
        <color theme="1"/>
        <rFont val="Calibri"/>
        <family val="2"/>
        <scheme val="minor"/>
      </rPr>
      <t xml:space="preserve"> Roaming ilimitado en USA,</t>
    </r>
    <r>
      <rPr>
        <sz val="11"/>
        <color rgb="FFFF0000"/>
        <rFont val="Calibri"/>
        <family val="2"/>
        <scheme val="minor"/>
      </rPr>
      <t xml:space="preserve"> Mejico y Canada </t>
    </r>
    <r>
      <rPr>
        <sz val="11"/>
        <color theme="1"/>
        <rFont val="Calibri"/>
        <family val="2"/>
        <scheme val="minor"/>
      </rPr>
      <t xml:space="preserve">y Data ilimitada en PR, USA, </t>
    </r>
    <r>
      <rPr>
        <sz val="11"/>
        <color rgb="FFFF0000"/>
        <rFont val="Calibri"/>
        <family val="2"/>
        <scheme val="minor"/>
      </rPr>
      <t>Mejico y Canada</t>
    </r>
    <r>
      <rPr>
        <sz val="11"/>
        <color theme="1"/>
        <rFont val="Calibri"/>
        <family val="2"/>
        <scheme val="minor"/>
      </rPr>
      <t xml:space="preserve"> con PUJ de </t>
    </r>
    <r>
      <rPr>
        <sz val="11"/>
        <color rgb="FFFF0000"/>
        <rFont val="Calibri"/>
        <family val="2"/>
        <scheme val="minor"/>
      </rPr>
      <t>50GB</t>
    </r>
    <r>
      <rPr>
        <sz val="11"/>
        <color theme="1"/>
        <rFont val="Calibri"/>
        <family val="2"/>
        <scheme val="minor"/>
      </rPr>
      <t xml:space="preserve"> </t>
    </r>
  </si>
  <si>
    <t>RED4050</t>
  </si>
  <si>
    <t>Plan de $40</t>
  </si>
  <si>
    <r>
      <t>'</t>
    </r>
    <r>
      <rPr>
        <b/>
        <sz val="28"/>
        <rFont val="Calibri"/>
        <family val="2"/>
        <scheme val="minor"/>
      </rPr>
      <t>TERMINOS Y CONDICIONES</t>
    </r>
    <r>
      <rPr>
        <sz val="28"/>
        <rFont val="Calibri"/>
        <family val="2"/>
        <scheme val="minor"/>
      </rPr>
      <t xml:space="preserve">
a. Aplica a Líneas nuevas con y sin Portabilidad y renovaciones.
b. Disponible en Financiamiento
c. ESTA OFERTA SE LE OTORGARA A LOS CLIENTES COMO UN CREDITO MENSUAL EN SU CUENTA. EL CREDITO DEPENDERA DEL PLAZO QUE SELECCIONE EL CLIENTE  24 o  30. (EJEMPLO: $130 / 24 PLAZOS = $5.42 CREDITO MENSUAL). SI EL CLIENTE SE ACOGE A OTRO PLAZO LOS $130 SE DIVIDIRAN POR EL PLAZO SELECCIONADO.
</t>
    </r>
    <r>
      <rPr>
        <b/>
        <sz val="28"/>
        <color rgb="FFFF0000"/>
        <rFont val="Calibri"/>
        <family val="2"/>
        <scheme val="minor"/>
      </rPr>
      <t xml:space="preserve">d. Descuento de $130 para Smartphones aplica en plan individual de $35, y a planes multilíneas Business Red Plus, Business Red Extreme, Business Red Supreme y Business Red Sin Fronteras. 
e. Descuento de $250 para Smartphones aplica en plan individual de $40 y a planes multilíneas Business Red Plus, Business Red Extreme, Business Red Supreme y Business Red Sin Fronteras.
f. Descuento de $300 y $400 para Smartphones aplica en plan individual de $50 y a planes multilíneas Business  Red Extreme, Business Red Supreme y Business Red Sin Fronteras.
f. Descuento de $500 para Smartphones aplica en plan individual de $60 y a planes multilíneas Business  Red Supreme y Business Red Sin Fronteras.
</t>
    </r>
    <r>
      <rPr>
        <sz val="28"/>
        <rFont val="Calibri"/>
        <family val="2"/>
        <scheme val="minor"/>
      </rPr>
      <t xml:space="preserve">f. Oferta aplica a solo a plazos de  24 y  30 en Financiamiento. 
g. Aplica para Bono de Streaming si es un cliente convergente, tiene un pago de equipo de 30 plazos o mas y cumple con los requisitos del bono
</t>
    </r>
    <r>
      <rPr>
        <b/>
        <sz val="28"/>
        <rFont val="Calibri"/>
        <family val="2"/>
        <scheme val="minor"/>
      </rPr>
      <t xml:space="preserve">h. No requiere pago inicial ni Trade In  </t>
    </r>
    <r>
      <rPr>
        <sz val="28"/>
        <rFont val="Calibri"/>
        <family val="2"/>
        <scheme val="minor"/>
      </rPr>
      <t xml:space="preserve">
</t>
    </r>
    <r>
      <rPr>
        <i/>
        <sz val="28"/>
        <rFont val="Calibri"/>
        <family val="2"/>
        <scheme val="minor"/>
      </rPr>
      <t xml:space="preserve">
</t>
    </r>
    <r>
      <rPr>
        <b/>
        <i/>
        <sz val="28"/>
        <color rgb="FFFF0000"/>
        <rFont val="Calibri"/>
        <family val="2"/>
        <scheme val="minor"/>
      </rPr>
      <t xml:space="preserve">- Los Price codes a utilizar para el descuento de $130 son:
</t>
    </r>
    <r>
      <rPr>
        <b/>
        <i/>
        <sz val="28"/>
        <color rgb="FF00B0F0"/>
        <rFont val="Calibri"/>
        <family val="2"/>
        <scheme val="minor"/>
      </rPr>
      <t xml:space="preserve">Financiamiento- F13024, F13030   </t>
    </r>
    <r>
      <rPr>
        <b/>
        <i/>
        <sz val="28"/>
        <color rgb="FFFF0000"/>
        <rFont val="Calibri"/>
        <family val="2"/>
        <scheme val="minor"/>
      </rPr>
      <t xml:space="preserve">
- Los Price codes a utilizar para el descuento de $250 son:
</t>
    </r>
    <r>
      <rPr>
        <b/>
        <i/>
        <sz val="28"/>
        <color rgb="FF00B0F0"/>
        <rFont val="Calibri"/>
        <family val="2"/>
        <scheme val="minor"/>
      </rPr>
      <t>Financiamiento- F25024, F25030</t>
    </r>
    <r>
      <rPr>
        <b/>
        <i/>
        <sz val="28"/>
        <color rgb="FFFF0000"/>
        <rFont val="Calibri"/>
        <family val="2"/>
        <scheme val="minor"/>
      </rPr>
      <t xml:space="preserve">
 - Los Price codes a utilizar para el descuento de $300 son:
</t>
    </r>
    <r>
      <rPr>
        <b/>
        <i/>
        <sz val="28"/>
        <color rgb="FF00B0F0"/>
        <rFont val="Calibri"/>
        <family val="2"/>
        <scheme val="minor"/>
      </rPr>
      <t>Financiamiento- F30024</t>
    </r>
    <r>
      <rPr>
        <b/>
        <i/>
        <sz val="28"/>
        <color rgb="FFFF0000"/>
        <rFont val="Calibri"/>
        <family val="2"/>
        <scheme val="minor"/>
      </rPr>
      <t xml:space="preserve">
 - Los Price codes a utilizar para el descuento de $400 son:
</t>
    </r>
    <r>
      <rPr>
        <b/>
        <i/>
        <sz val="28"/>
        <color rgb="FF00B0F0"/>
        <rFont val="Calibri"/>
        <family val="2"/>
        <scheme val="minor"/>
      </rPr>
      <t>Financiamiento- F40030</t>
    </r>
    <r>
      <rPr>
        <b/>
        <i/>
        <sz val="28"/>
        <color rgb="FFFF0000"/>
        <rFont val="Calibri"/>
        <family val="2"/>
        <scheme val="minor"/>
      </rPr>
      <t xml:space="preserve">
- Los Price codes a utilizar para el descuento de $500 son:
</t>
    </r>
    <r>
      <rPr>
        <b/>
        <i/>
        <sz val="28"/>
        <color rgb="FF00B0F0"/>
        <rFont val="Calibri"/>
        <family val="2"/>
        <scheme val="minor"/>
      </rPr>
      <t>Financiamiento-  F50024</t>
    </r>
  </si>
  <si>
    <t>no aplica porque ya es gratis desde $40</t>
  </si>
  <si>
    <r>
      <rPr>
        <b/>
        <sz val="26"/>
        <color rgb="FFFF0000"/>
        <rFont val="Calibri"/>
        <family val="2"/>
        <scheme val="minor"/>
      </rPr>
      <t xml:space="preserve">¡NUEVO!
 Equipo GRATIS
</t>
    </r>
    <r>
      <rPr>
        <b/>
        <sz val="26"/>
        <color theme="1"/>
        <rFont val="Calibri"/>
        <family val="2"/>
        <scheme val="minor"/>
      </rPr>
      <t xml:space="preserve">
</t>
    </r>
    <r>
      <rPr>
        <b/>
        <sz val="26"/>
        <color rgb="FF00B050"/>
        <rFont val="Calibri"/>
        <family val="2"/>
        <scheme val="minor"/>
      </rPr>
      <t>NO REQUIERE TRADE IN</t>
    </r>
    <r>
      <rPr>
        <b/>
        <sz val="26"/>
        <color theme="1"/>
        <rFont val="Calibri"/>
        <family val="2"/>
        <scheme val="minor"/>
      </rPr>
      <t xml:space="preserve">
</t>
    </r>
    <r>
      <rPr>
        <b/>
        <sz val="26"/>
        <color rgb="FF0070C0"/>
        <rFont val="Calibri"/>
        <family val="2"/>
        <scheme val="minor"/>
      </rPr>
      <t>CLIENTE NUEVO, PORTABILIDADES Y RENOVACIONES</t>
    </r>
    <r>
      <rPr>
        <b/>
        <sz val="26"/>
        <color theme="1"/>
        <rFont val="Calibri"/>
        <family val="2"/>
        <scheme val="minor"/>
      </rPr>
      <t xml:space="preserve">
SOLO 30 PLAZOS</t>
    </r>
  </si>
  <si>
    <t>Plan de $45</t>
  </si>
  <si>
    <r>
      <rPr>
        <b/>
        <sz val="28"/>
        <color theme="1"/>
        <rFont val="Calibri"/>
        <family val="2"/>
        <scheme val="minor"/>
      </rPr>
      <t xml:space="preserve">- </t>
    </r>
    <r>
      <rPr>
        <b/>
        <sz val="28"/>
        <rFont val="Calibri"/>
        <family val="2"/>
        <scheme val="minor"/>
      </rPr>
      <t xml:space="preserve">Aplica a portabilidades, líneas nuevas y renovaciones. 
- Oferta solo aplica a 30 plazos en Financiamiento.
- Aplica a planes desde $45 y a todas las lineas de planes multilíneas Business Red Plus, Red Extreme, Red Supreme y Red Sin Fronteras. 
-Apilca Bono de Streaming  si el cliente es convergente, el pago de equipo  es a 30 plazos o mas y cumple con todos los rerquisitos del mismo    </t>
    </r>
    <r>
      <rPr>
        <b/>
        <sz val="28"/>
        <color rgb="FFFF0000"/>
        <rFont val="Calibri"/>
        <family val="2"/>
        <scheme val="minor"/>
      </rPr>
      <t xml:space="preserve">      </t>
    </r>
    <r>
      <rPr>
        <sz val="28"/>
        <color theme="1"/>
        <rFont val="Calibri"/>
        <family val="2"/>
        <scheme val="minor"/>
      </rPr>
      <t xml:space="preserve">                                                                                                                                                                            
 - Aunque los equipos estén en oferta, el cliente deberá pagar los taxes de todos los  equipos que adquiera, al momento de la activación.
- Aplican a Planes Claro Sin Fronteras.
</t>
    </r>
    <r>
      <rPr>
        <b/>
        <sz val="28"/>
        <color theme="1"/>
        <rFont val="Calibri"/>
        <family val="2"/>
        <scheme val="minor"/>
      </rPr>
      <t xml:space="preserve">- Los price codes a utilizar es:
</t>
    </r>
    <r>
      <rPr>
        <b/>
        <sz val="28"/>
        <color rgb="FF0070C0"/>
        <rFont val="Calibri"/>
        <family val="2"/>
        <scheme val="minor"/>
      </rPr>
      <t>Financiamiento- FIUP30</t>
    </r>
  </si>
  <si>
    <t xml:space="preserve">Motorola </t>
  </si>
  <si>
    <t>no aplica porque ya es gratis desde $45</t>
  </si>
  <si>
    <t>MOTO G 2025 5G</t>
  </si>
  <si>
    <t>Moto G Power 2025 5G</t>
  </si>
  <si>
    <r>
      <rPr>
        <b/>
        <sz val="26"/>
        <color rgb="FFFF0000"/>
        <rFont val="Calibri"/>
        <family val="2"/>
        <scheme val="minor"/>
      </rPr>
      <t xml:space="preserve">¡NUEVO!
 CREDITO DE HASTA $1,000
</t>
    </r>
    <r>
      <rPr>
        <b/>
        <sz val="26"/>
        <color theme="1"/>
        <rFont val="Calibri"/>
        <family val="2"/>
        <scheme val="minor"/>
      </rPr>
      <t xml:space="preserve">
</t>
    </r>
    <r>
      <rPr>
        <b/>
        <sz val="26"/>
        <color rgb="FF00B050"/>
        <rFont val="Calibri"/>
        <family val="2"/>
        <scheme val="minor"/>
      </rPr>
      <t>NO REQUIERE TRADE IN</t>
    </r>
    <r>
      <rPr>
        <b/>
        <sz val="26"/>
        <color theme="1"/>
        <rFont val="Calibri"/>
        <family val="2"/>
        <scheme val="minor"/>
      </rPr>
      <t xml:space="preserve">
</t>
    </r>
    <r>
      <rPr>
        <b/>
        <sz val="26"/>
        <color rgb="FF0070C0"/>
        <rFont val="Calibri"/>
        <family val="2"/>
        <scheme val="minor"/>
      </rPr>
      <t>CLIENTE NUEVO, PORTABILIDADES Y RENOVACIONES</t>
    </r>
    <r>
      <rPr>
        <b/>
        <sz val="26"/>
        <color theme="1"/>
        <rFont val="Calibri"/>
        <family val="2"/>
        <scheme val="minor"/>
      </rPr>
      <t xml:space="preserve">
SOLO 30 PLAZOS</t>
    </r>
  </si>
  <si>
    <r>
      <rPr>
        <sz val="24"/>
        <color theme="1"/>
        <rFont val="Calibri"/>
        <family val="2"/>
        <scheme val="minor"/>
      </rPr>
      <t xml:space="preserve">
-APLICA A LINEAS NUEVAS CON Y SIN PORTABILIDAD Y RENOVACIONES</t>
    </r>
    <r>
      <rPr>
        <b/>
        <sz val="24"/>
        <color theme="1"/>
        <rFont val="Calibri"/>
        <family val="2"/>
        <scheme val="minor"/>
      </rPr>
      <t xml:space="preserve">
</t>
    </r>
    <r>
      <rPr>
        <sz val="24"/>
        <color theme="1"/>
        <rFont val="Calibri"/>
        <family val="2"/>
        <scheme val="minor"/>
      </rPr>
      <t xml:space="preserve">- Aunque los equipos estén en oferta, el cliente deberá pagar los taxes de todos los equipos que adquiera,  al momento de la activación.
- ESTA Oferta aplica solo a 30 PLAZOS. Créditos se comienzan a ver a partir de la 2nda factura.
-Apilca Bono de Streaming  si el cliente es convergente, el pago de equipo  es a 30 plazos o mas y cumple con todos los rerquisitos del mismo    
- Todos los equipos gratis aplicarán también a todas las lineas de los planes BUSINESS RED EXTREME, BUSINESS RED SUPREME yBUSINESS RED SIN FRONTERAS desde la 1 hasta 10
-La oferta aplica en planes desde $75
</t>
    </r>
    <r>
      <rPr>
        <sz val="24"/>
        <rFont val="Calibri"/>
        <family val="2"/>
        <scheme val="minor"/>
      </rPr>
      <t xml:space="preserve">- Oferta valida en Financiamiento
</t>
    </r>
    <r>
      <rPr>
        <b/>
        <sz val="24"/>
        <rFont val="Calibri"/>
        <family val="2"/>
        <scheme val="minor"/>
      </rPr>
      <t>- El price code a utilizar es:</t>
    </r>
    <r>
      <rPr>
        <sz val="24"/>
        <rFont val="Calibri"/>
        <family val="2"/>
        <scheme val="minor"/>
      </rPr>
      <t xml:space="preserve">
</t>
    </r>
    <r>
      <rPr>
        <b/>
        <sz val="24"/>
        <color rgb="FF0070C0"/>
        <rFont val="Calibri"/>
        <family val="2"/>
        <scheme val="minor"/>
      </rPr>
      <t>Financiamiento- F1000T</t>
    </r>
  </si>
  <si>
    <r>
      <t xml:space="preserve">
</t>
    </r>
    <r>
      <rPr>
        <b/>
        <u/>
        <sz val="36"/>
        <rFont val="Calibri"/>
        <family val="2"/>
        <scheme val="minor"/>
      </rPr>
      <t xml:space="preserve">Crédito $1,000:
</t>
    </r>
    <r>
      <rPr>
        <sz val="36"/>
        <rFont val="Calibri"/>
        <family val="2"/>
        <scheme val="minor"/>
      </rPr>
      <t>Samsung Galaxy Z Fold 7</t>
    </r>
    <r>
      <rPr>
        <b/>
        <sz val="36"/>
        <rFont val="Calibri"/>
        <family val="2"/>
        <scheme val="minor"/>
      </rPr>
      <t xml:space="preserve">
</t>
    </r>
    <r>
      <rPr>
        <sz val="36"/>
        <rFont val="Calibri"/>
        <family val="2"/>
        <scheme val="minor"/>
      </rPr>
      <t xml:space="preserve">
</t>
    </r>
  </si>
  <si>
    <t>Z Flip 7</t>
  </si>
  <si>
    <t>Z Fold 7</t>
  </si>
  <si>
    <r>
      <t xml:space="preserve">Planes desde </t>
    </r>
    <r>
      <rPr>
        <b/>
        <sz val="26"/>
        <color rgb="FFFF0000"/>
        <rFont val="Calibri"/>
        <family val="2"/>
        <scheme val="minor"/>
      </rPr>
      <t>$50</t>
    </r>
  </si>
  <si>
    <r>
      <t xml:space="preserve">Planes desde </t>
    </r>
    <r>
      <rPr>
        <b/>
        <sz val="26"/>
        <color rgb="FFFF0000"/>
        <rFont val="Calibri"/>
        <family val="2"/>
        <scheme val="minor"/>
      </rPr>
      <t>$60</t>
    </r>
  </si>
  <si>
    <t>No aplica porque ese equipo tiene 50% de descuento en planes de $50 en adelante sin Trade In gratis en planes desde $60 sin Trade In. Hasta 2 líneas.</t>
  </si>
  <si>
    <r>
      <rPr>
        <sz val="26"/>
        <rFont val="Calibri"/>
        <family val="2"/>
        <scheme val="minor"/>
      </rPr>
      <t>Aplica solo en planes desde</t>
    </r>
    <r>
      <rPr>
        <sz val="26"/>
        <color rgb="FFFF0000"/>
        <rFont val="Calibri"/>
        <family val="2"/>
        <scheme val="minor"/>
      </rPr>
      <t xml:space="preserve"> </t>
    </r>
    <r>
      <rPr>
        <b/>
        <sz val="26"/>
        <color rgb="FFFF0000"/>
        <rFont val="Calibri"/>
        <family val="2"/>
        <scheme val="minor"/>
      </rPr>
      <t>$45</t>
    </r>
    <r>
      <rPr>
        <sz val="26"/>
        <color rgb="FFFF0000"/>
        <rFont val="Calibri"/>
        <family val="2"/>
        <scheme val="minor"/>
      </rPr>
      <t xml:space="preserve">
</t>
    </r>
  </si>
  <si>
    <t>Ahora aplica tanto a clientes  CONVERGENTES y NO CONVERGENTES si se acojen a planes desde $45.</t>
  </si>
  <si>
    <r>
      <t xml:space="preserve">Aplica a clientes nuevos o existentes que activen o añadan lineas en Portabilidad 
Aplica a clientes Pospago y Financiamiento solo en ciertos planes de $40 en adelante.  No disponible para todos los planes .
</t>
    </r>
    <r>
      <rPr>
        <b/>
        <sz val="22"/>
        <rFont val="Calibri"/>
        <family val="2"/>
        <scheme val="minor"/>
      </rPr>
      <t xml:space="preserve">-Aplica a clientes convergentes $150 y no convergentes portando 2 lineas o más $100 por línea portada. En el caso de cliente no convergente que porta sólo 1 línea se le aplicará $50 de Bono de Portabilidad. Aplica a planes individuales desde $40 y planes multilíneas Business Red. 
No aplica BYOP, Prepago, Banda Ancha, FWA, Claro Hogar
</t>
    </r>
    <r>
      <rPr>
        <sz val="22"/>
        <rFont val="Calibri"/>
        <family val="2"/>
        <scheme val="minor"/>
      </rPr>
      <t xml:space="preserve">Para información detallada  del beneficio y los requerimientos favor de ver: 
</t>
    </r>
    <r>
      <rPr>
        <b/>
        <sz val="22"/>
        <rFont val="Calibri"/>
        <family val="2"/>
        <scheme val="minor"/>
      </rPr>
      <t>Boletin de Mercadeo: Nuevo Bono de Portabilidad $150 PYMES</t>
    </r>
    <r>
      <rPr>
        <sz val="22"/>
        <rFont val="Calibri"/>
        <family val="2"/>
        <scheme val="minor"/>
      </rPr>
      <t xml:space="preserve"> o Boletín de Procesos </t>
    </r>
    <r>
      <rPr>
        <b/>
        <sz val="22"/>
        <rFont val="Calibri"/>
        <family val="2"/>
        <scheme val="minor"/>
      </rPr>
      <t>2024-VVM-003</t>
    </r>
  </si>
  <si>
    <r>
      <t xml:space="preserve">NUEVO!
</t>
    </r>
    <r>
      <rPr>
        <b/>
        <sz val="24"/>
        <color rgb="FFFF0000"/>
        <rFont val="Calibri"/>
        <family val="2"/>
        <scheme val="minor"/>
      </rPr>
      <t xml:space="preserve">CREDITO DE HASTA $1,100 
</t>
    </r>
    <r>
      <rPr>
        <b/>
        <sz val="24"/>
        <color rgb="FF00B050"/>
        <rFont val="Calibri"/>
        <family val="2"/>
        <scheme val="minor"/>
      </rPr>
      <t xml:space="preserve">REQUIERE TRADE IN SIN VALORIZACION
</t>
    </r>
    <r>
      <rPr>
        <b/>
        <sz val="24"/>
        <color rgb="FF0066FF"/>
        <rFont val="Calibri"/>
        <family val="2"/>
        <scheme val="minor"/>
      </rPr>
      <t xml:space="preserve">
LINEAS NUEVAS, PORTABILIDADES Y RENOVACIONES</t>
    </r>
    <r>
      <rPr>
        <b/>
        <sz val="24"/>
        <color rgb="FFFF0000"/>
        <rFont val="Calibri"/>
        <family val="2"/>
        <scheme val="minor"/>
      </rPr>
      <t xml:space="preserve">
SOLO A 30 PLAZOS</t>
    </r>
  </si>
  <si>
    <t xml:space="preserve">No aplica porque ese equipo tiene 50% de descuento en planes de $50 en adelante sin Trade In gratis en planes desde $60 sin Trade In. </t>
  </si>
  <si>
    <t xml:space="preserve">No aplica porque ese equipo tiene 50% de descuento en planes de $50 en adelante sin Trade In o gratis en planes desde $60 sin Trade In. </t>
  </si>
  <si>
    <t>No aplica porque ese equipo tiene 50% de descuento en planes de $50 en adelante sin Trade In,  gratis en planes desde $75 sin Trade In para línea individual o gratis (2) líneas por ban en planes familiares Red Plus en adelante.</t>
  </si>
  <si>
    <t>No aplica porque ese equipo tiene 50% de descuento en planes de $50 en adelante sin Trade In,  gratis en planes individuales y familiares desde $75 sin Trade In</t>
  </si>
  <si>
    <t>iPhone 16 Pro Max 256GB*</t>
  </si>
  <si>
    <t xml:space="preserve">iPhone 17 256GB
iPhone Air 256GB
iPhone Air 512GB
iPhone 17 Pro 256GB
iPhone 17 Pro 512GB
iPhone 17 Pro Max 256GB
iPhone 17 Pro Max 512GB
SAMSUNG Z FLIP 7
SAMSUNG Z FOLD 7
SAMSUNG GALAXY S25 ULTRA
MOTOROLA RAZR 2024
</t>
  </si>
  <si>
    <r>
      <rPr>
        <u/>
        <sz val="30"/>
        <rFont val="Calibri"/>
        <family val="2"/>
        <scheme val="minor"/>
      </rPr>
      <t>Crédito $1,100:</t>
    </r>
    <r>
      <rPr>
        <sz val="30"/>
        <rFont val="Calibri"/>
        <family val="2"/>
        <scheme val="minor"/>
      </rPr>
      <t xml:space="preserve">
iPhone 17 Pro 512GB
iPhone 17 Pro Max 512GB</t>
    </r>
  </si>
  <si>
    <r>
      <t xml:space="preserve">SAMSUNG GALAXY A26
SAMSUNG GALAXY A16                    </t>
    </r>
    <r>
      <rPr>
        <sz val="26"/>
        <rFont val="Calibri"/>
        <family val="2"/>
        <scheme val="minor"/>
      </rPr>
      <t xml:space="preserve">                            </t>
    </r>
  </si>
  <si>
    <t xml:space="preserve">
IPHONE 16e
Moto G Power 2025 5G                                                         </t>
  </si>
  <si>
    <t>SAMSUNG GALAXY S25 FE
SAMSUNG GALAXY A36
Motorola Moto Edge 2024 (incluye cargador y Audifono Moto Buds+)</t>
  </si>
  <si>
    <r>
      <t xml:space="preserve">- Aplica a portabilidades, líneas nuevas y renovaciones. 
</t>
    </r>
    <r>
      <rPr>
        <b/>
        <sz val="23.5"/>
        <color rgb="FFFF0000"/>
        <rFont val="Calibri"/>
        <family val="2"/>
        <scheme val="minor"/>
      </rPr>
      <t xml:space="preserve">-  Todos los equipos gratis aplicarán también a todas las lineas de los planes BUSINESS RED desde la 1 hasta 10 
</t>
    </r>
    <r>
      <rPr>
        <sz val="23.5"/>
        <color theme="1"/>
        <rFont val="Calibri"/>
        <family val="2"/>
        <scheme val="minor"/>
      </rPr>
      <t xml:space="preserve">- Oferta solo aplica a 30 plazos en Financiamiento.
-Apilca Bono de Streaming  si el cliente es convergente, el pago de equipo  es a 30 plazos o mas y cumple con todos los rerquisitos del mismo                                                                                                                                                                                                                  
 - Aunque los equipos estén en oferta, el cliente deberá pagar los taxes de todos los  equipos que adquiera, al momento de la activación.
- Aplican a Planes Claro Sin Fronteras.
</t>
    </r>
    <r>
      <rPr>
        <b/>
        <sz val="23.5"/>
        <color theme="1"/>
        <rFont val="Calibri"/>
        <family val="2"/>
        <scheme val="minor"/>
      </rPr>
      <t>- Los price codes a utilizar son:</t>
    </r>
    <r>
      <rPr>
        <b/>
        <sz val="23.5"/>
        <color rgb="FF0070C0"/>
        <rFont val="Calibri"/>
        <family val="2"/>
        <scheme val="minor"/>
      </rPr>
      <t xml:space="preserve">
Financiamiento- FIUP30</t>
    </r>
  </si>
  <si>
    <r>
      <t xml:space="preserve">
-APLICA A LINEAS NUEVAS CON Y SIN PORTABILIDAD Y RENOVACIONES</t>
    </r>
    <r>
      <rPr>
        <b/>
        <sz val="22"/>
        <rFont val="Calibri"/>
        <family val="2"/>
        <scheme val="minor"/>
      </rPr>
      <t xml:space="preserve">
</t>
    </r>
    <r>
      <rPr>
        <sz val="22"/>
        <rFont val="Calibri"/>
        <family val="2"/>
        <scheme val="minor"/>
      </rPr>
      <t>-</t>
    </r>
    <r>
      <rPr>
        <b/>
        <sz val="22"/>
        <rFont val="Calibri"/>
        <family val="2"/>
        <scheme val="minor"/>
      </rPr>
      <t xml:space="preserve"> </t>
    </r>
    <r>
      <rPr>
        <b/>
        <sz val="22"/>
        <color rgb="FFEE0000"/>
        <rFont val="Calibri"/>
        <family val="2"/>
        <scheme val="minor"/>
      </rPr>
      <t xml:space="preserve"> </t>
    </r>
    <r>
      <rPr>
        <b/>
        <sz val="28"/>
        <color rgb="FFEE0000"/>
        <rFont val="Calibri"/>
        <family val="2"/>
        <scheme val="minor"/>
      </rPr>
      <t xml:space="preserve">El modelo Samsung Galaxy S25 Ultra  aplica solo a línea individual en planes Business Red Plus, Business Red Extreme, Business Red Supreme y Business Red Sin Fronteras. </t>
    </r>
    <r>
      <rPr>
        <b/>
        <sz val="22"/>
        <color rgb="FFEE0000"/>
        <rFont val="Calibri"/>
        <family val="2"/>
        <scheme val="minor"/>
      </rPr>
      <t xml:space="preserve"> </t>
    </r>
    <r>
      <rPr>
        <sz val="22"/>
        <color theme="1"/>
        <rFont val="Calibri"/>
        <family val="2"/>
        <scheme val="minor"/>
      </rPr>
      <t xml:space="preserve">
-Todos los equipos gratis, menos el Samsung S25 Ultra, aplicarán también a todas las lineas de los planes multilineas BUSINES RED PLUS, BUSINESS RED EXTREME, BUSINESS RED SUPREME Y BUSINESS RED SIN FRONTERAS desde la 1 hasta 10
- Oferta solo aplica a 30 plazos en Financiamiento.
-Apilca Bono de Streaming  si el cliente es convergente, el pago de equipo  es a 30 plazos o mas y cumple con todos los requisitos del mismo                                                                                                                                                                                                                  
 - Aunque los equipos estén en oferta, el cliente deberá pagar los taxes de todos los  equipos que adquiera, al momento de la activación.
- Aplican a Planes Claro Sin Fronteras.
</t>
    </r>
    <r>
      <rPr>
        <b/>
        <sz val="22"/>
        <color theme="1"/>
        <rFont val="Calibri"/>
        <family val="2"/>
        <scheme val="minor"/>
      </rPr>
      <t>- El price codes a utilizar es:</t>
    </r>
    <r>
      <rPr>
        <b/>
        <sz val="22"/>
        <color rgb="FF0070C0"/>
        <rFont val="Calibri"/>
        <family val="2"/>
        <scheme val="minor"/>
      </rPr>
      <t xml:space="preserve">
Financiamiento- FIUP30</t>
    </r>
  </si>
  <si>
    <r>
      <t xml:space="preserve">Planes Individuales desde </t>
    </r>
    <r>
      <rPr>
        <b/>
        <sz val="26"/>
        <color rgb="FFFF0000"/>
        <rFont val="Calibri"/>
        <family val="2"/>
        <scheme val="minor"/>
      </rPr>
      <t>$75</t>
    </r>
  </si>
  <si>
    <r>
      <t xml:space="preserve">Términos y Condiciones:
Aplica a portabilidades, líneas nuevas y renovaciones. 
</t>
    </r>
    <r>
      <rPr>
        <b/>
        <sz val="26"/>
        <color rgb="FFFF0000"/>
        <rFont val="Calibri"/>
        <family val="2"/>
        <scheme val="minor"/>
      </rPr>
      <t>Oferta No requiere entrega de equipo en Trade In
Plan Individual- Aplica en plan individual  de $75 en adelante</t>
    </r>
    <r>
      <rPr>
        <b/>
        <sz val="26"/>
        <color theme="1"/>
        <rFont val="Calibri"/>
        <family val="2"/>
        <scheme val="minor"/>
      </rPr>
      <t xml:space="preserve">
</t>
    </r>
    <r>
      <rPr>
        <sz val="22"/>
        <color theme="1"/>
        <rFont val="Calibri"/>
        <family val="2"/>
        <scheme val="minor"/>
      </rPr>
      <t xml:space="preserve">Aplica Bono de Streaming  si el cliente es convergente, el pago de equipo  es a 30 plazos o más y cumple con todos los requisitos del mismo.
Aunque los equipos estén en oferta, el cliente deberá pagar los taxes de todos los  equipos que adquiera, al momento de la activación.
Aplican a Planes Claro Sin Fronteras.
</t>
    </r>
    <r>
      <rPr>
        <b/>
        <sz val="24"/>
        <color rgb="FF0070C0"/>
        <rFont val="Calibri"/>
        <family val="2"/>
        <scheme val="minor"/>
      </rPr>
      <t>Price code a utilizar:
Financiamiento- FIUP30</t>
    </r>
  </si>
  <si>
    <t xml:space="preserve">Planes multilíneas desde $60
</t>
  </si>
  <si>
    <r>
      <rPr>
        <b/>
        <sz val="26"/>
        <rFont val="Calibri"/>
        <family val="2"/>
        <scheme val="minor"/>
      </rPr>
      <t>Planes Individuales desde</t>
    </r>
    <r>
      <rPr>
        <b/>
        <sz val="26"/>
        <color rgb="FFFF0000"/>
        <rFont val="Calibri"/>
        <family val="2"/>
        <scheme val="minor"/>
      </rPr>
      <t xml:space="preserve"> $75</t>
    </r>
  </si>
  <si>
    <r>
      <t xml:space="preserve">- </t>
    </r>
    <r>
      <rPr>
        <b/>
        <sz val="26"/>
        <color theme="1"/>
        <rFont val="Calibri"/>
        <family val="2"/>
        <scheme val="minor"/>
      </rPr>
      <t xml:space="preserve">Aplica a portabilidades, líneas nuevas y renovaciones. </t>
    </r>
    <r>
      <rPr>
        <sz val="26"/>
        <color theme="1"/>
        <rFont val="Calibri"/>
        <family val="2"/>
        <scheme val="minor"/>
      </rPr>
      <t xml:space="preserve">
-Todos los equipos gratis aplicarán también a todas las líneas de planes Business Red Pus, Extreme, Supreme y Sin Fronteras desde 1  hasta 10. 
- </t>
    </r>
    <r>
      <rPr>
        <b/>
        <sz val="26"/>
        <color theme="1"/>
        <rFont val="Calibri"/>
        <family val="2"/>
        <scheme val="minor"/>
      </rPr>
      <t>Oferta solo aplica a 24 plazos en  Financiamiento.</t>
    </r>
    <r>
      <rPr>
        <sz val="26"/>
        <color theme="1"/>
        <rFont val="Calibri"/>
        <family val="2"/>
        <scheme val="minor"/>
      </rPr>
      <t xml:space="preserve">
- Aunque los equipos estén en oferta, el cliente deberá pagar los taxes de todos los  equipos que adquiera, al momento de la activación.
- Aplican a todas las líneas de planes Business Red Pus, Extreme, Supreme y Sin Fronteras. </t>
    </r>
    <r>
      <rPr>
        <b/>
        <sz val="72"/>
        <color theme="1"/>
        <rFont val="Calibri"/>
        <family val="2"/>
        <scheme val="minor"/>
      </rPr>
      <t xml:space="preserve">
</t>
    </r>
    <r>
      <rPr>
        <b/>
        <sz val="48"/>
        <color theme="1"/>
        <rFont val="Calibri"/>
        <family val="2"/>
        <scheme val="minor"/>
      </rPr>
      <t xml:space="preserve">PRICE CODE Financiamiento -  </t>
    </r>
    <r>
      <rPr>
        <b/>
        <sz val="48"/>
        <color rgb="FF0070C0"/>
        <rFont val="Calibri"/>
        <family val="2"/>
        <scheme val="minor"/>
      </rPr>
      <t xml:space="preserve"> FIUP24</t>
    </r>
  </si>
  <si>
    <t>Samsung Galaxy S25 Ultra- Planes Individuales
 Samsung Galaxy Z Flip 7
MOTOROLA RAZR 2024</t>
  </si>
  <si>
    <t>A07</t>
  </si>
  <si>
    <t>Galaxy S25 Fe</t>
  </si>
  <si>
    <t>iPhone 17 256GB</t>
  </si>
  <si>
    <t>iPhone Air 256GB</t>
  </si>
  <si>
    <t>iPhone 17 Pro 256GB</t>
  </si>
  <si>
    <t>iPhone Air 512GB</t>
  </si>
  <si>
    <t>iPhone 17 Pro Max  256GB</t>
  </si>
  <si>
    <t>iPhone 17 Pro 512GB</t>
  </si>
  <si>
    <t>iPhone 17 Pro Max 512GB</t>
  </si>
  <si>
    <r>
      <rPr>
        <b/>
        <i/>
        <u/>
        <sz val="36"/>
        <color rgb="FFFF0000"/>
        <rFont val="Calibri"/>
        <family val="2"/>
        <scheme val="minor"/>
      </rPr>
      <t>Oferta para planes multilíneas:</t>
    </r>
    <r>
      <rPr>
        <b/>
        <sz val="26"/>
        <color rgb="FFFF0000"/>
        <rFont val="Calibri"/>
        <family val="2"/>
        <scheme val="minor"/>
      </rPr>
      <t xml:space="preserve">
DOS EQUIPOS GRATIS</t>
    </r>
    <r>
      <rPr>
        <sz val="26"/>
        <rFont val="Calibri"/>
        <family val="2"/>
        <scheme val="minor"/>
      </rPr>
      <t xml:space="preserve">
</t>
    </r>
    <r>
      <rPr>
        <sz val="26"/>
        <color rgb="FFFF0000"/>
        <rFont val="Calibri"/>
        <family val="2"/>
        <scheme val="minor"/>
      </rPr>
      <t>NUEVO! iPhone Air 512GB
NUEVO! iPhone 17 Pro Max 256GB
NUEVO! iPhone 17 Pro 512GB
NUEVO! iPhone 17 Pro Max 512GB
NUEVO! Samsung Galaxy S25 Ultra</t>
    </r>
  </si>
  <si>
    <r>
      <rPr>
        <b/>
        <sz val="26"/>
        <color rgb="FFFF0000"/>
        <rFont val="Calibri"/>
        <family val="2"/>
        <scheme val="minor"/>
      </rPr>
      <t xml:space="preserve">
</t>
    </r>
    <r>
      <rPr>
        <b/>
        <sz val="36"/>
        <color rgb="FFFF0000"/>
        <rFont val="Calibri"/>
        <family val="2"/>
        <scheme val="minor"/>
      </rPr>
      <t>NUEVO</t>
    </r>
    <r>
      <rPr>
        <b/>
        <sz val="26"/>
        <color rgb="FFFF0000"/>
        <rFont val="Calibri"/>
        <family val="2"/>
        <scheme val="minor"/>
      </rPr>
      <t xml:space="preserve">
OFERTA PLANES MULTILÍNEAS:
</t>
    </r>
    <r>
      <rPr>
        <b/>
        <sz val="26"/>
        <color rgb="FF0066FF"/>
        <rFont val="Calibri"/>
        <family val="2"/>
        <scheme val="minor"/>
      </rPr>
      <t>DOS EQUIPOS GRATIS</t>
    </r>
    <r>
      <rPr>
        <b/>
        <sz val="26"/>
        <color rgb="FFFF0000"/>
        <rFont val="Calibri"/>
        <family val="2"/>
        <scheme val="minor"/>
      </rPr>
      <t xml:space="preserve">
</t>
    </r>
    <r>
      <rPr>
        <b/>
        <sz val="26"/>
        <color theme="1"/>
        <rFont val="Calibri"/>
        <family val="2"/>
        <scheme val="minor"/>
      </rPr>
      <t xml:space="preserve">
</t>
    </r>
    <r>
      <rPr>
        <b/>
        <sz val="26"/>
        <color rgb="FF00B050"/>
        <rFont val="Calibri"/>
        <family val="2"/>
        <scheme val="minor"/>
      </rPr>
      <t>NO REQUIERE TRADE IN</t>
    </r>
    <r>
      <rPr>
        <b/>
        <sz val="26"/>
        <color theme="1"/>
        <rFont val="Calibri"/>
        <family val="2"/>
        <scheme val="minor"/>
      </rPr>
      <t xml:space="preserve">
</t>
    </r>
    <r>
      <rPr>
        <b/>
        <sz val="26"/>
        <color rgb="FF0066FF"/>
        <rFont val="Calibri"/>
        <family val="2"/>
        <scheme val="minor"/>
      </rPr>
      <t>CLIENTE NUEVO, PORTABILIDADES Y RENOVACIONES</t>
    </r>
    <r>
      <rPr>
        <b/>
        <sz val="26"/>
        <color theme="1"/>
        <rFont val="Calibri"/>
        <family val="2"/>
        <scheme val="minor"/>
      </rPr>
      <t xml:space="preserve">
SOLO 30 PLAZOS</t>
    </r>
  </si>
  <si>
    <r>
      <t xml:space="preserve">Términos y Condiciones:
Aplica a portabilidades, líneas nuevas y renovaciones. 
</t>
    </r>
    <r>
      <rPr>
        <b/>
        <sz val="26"/>
        <color rgb="FFFF0000"/>
        <rFont val="Calibri"/>
        <family val="2"/>
        <scheme val="minor"/>
      </rPr>
      <t xml:space="preserve">Oferta No requiere entrega de equipo en Trade In
Ofertas aplica a planes multilíneas BUSINESS RED PLUS, BUSINESS RED EXTREME, BUSINESS RED SUPREME Y BUSINESS RED SIN FRONTERAS desde la 1 hasta 10.
Pueden combinar entre los modelos incluidos en esta oferta.
Aplican hasta dos equipos gratis. 
El tercer equipo en adelante activados bajo esta oferta no reciben descuento.
Todos los equipos deben activarse en un mismo ban.
EL CRÉDITO SE VERÁ EN LA CUENTA DEL CLIENTE A PARTIR DEL SEGUNDO CICLO DE FACTURACIÓN .
</t>
    </r>
    <r>
      <rPr>
        <sz val="22"/>
        <color theme="1"/>
        <rFont val="Calibri"/>
        <family val="2"/>
        <scheme val="minor"/>
      </rPr>
      <t xml:space="preserve">Aplica Bono de Streaming  si el cliente es convergente, el pago de equipo  es a 30 plazos o más y cumple con todos los requisitos del mismo.
Aunque los equipos estén en oferta, el cliente deberá pagar los taxes de todos los  equipos que adquiera, al momento de la activación.
</t>
    </r>
    <r>
      <rPr>
        <sz val="22"/>
        <color rgb="FF0070C0"/>
        <rFont val="Calibri"/>
        <family val="2"/>
        <scheme val="minor"/>
      </rPr>
      <t>Los price codes a utilizar son:
Financiamiento- FIFAM2</t>
    </r>
  </si>
  <si>
    <r>
      <rPr>
        <b/>
        <sz val="26"/>
        <rFont val="Calibri"/>
        <family val="2"/>
        <scheme val="minor"/>
      </rPr>
      <t>APLICA A LINEAS NUEVAS CON Y SIN PORTABILIDAD Y RENOVACIONES</t>
    </r>
    <r>
      <rPr>
        <sz val="26"/>
        <rFont val="Calibri"/>
        <family val="2"/>
        <scheme val="minor"/>
      </rPr>
      <t xml:space="preserve">
</t>
    </r>
    <r>
      <rPr>
        <b/>
        <sz val="26"/>
        <color rgb="FFFF0000"/>
        <rFont val="Calibri"/>
        <family val="2"/>
        <scheme val="minor"/>
      </rPr>
      <t xml:space="preserve">- Oferta SI Requiere la entrega de alguno de los siguientes equipos en Trade in SIN valorización: 
</t>
    </r>
    <r>
      <rPr>
        <b/>
        <sz val="26"/>
        <rFont val="Calibri"/>
        <family val="2"/>
        <scheme val="minor"/>
      </rPr>
      <t>SAMSUNG:</t>
    </r>
    <r>
      <rPr>
        <sz val="26"/>
        <rFont val="Calibri"/>
        <family val="2"/>
        <scheme val="minor"/>
      </rPr>
      <t xml:space="preserve"> Note9, Note10, Note10+, Note10 Lite, Note20, Z Flip3, Z Fold3 , S21 Ultra,Note20 Ultra , Z Fold4, Z Flip4, Galaxy S10, Galaxy S10e,Galaxy S10+, Galaxy S10 5G, Galaxy S20 FE, Galaxy S20, Galaxy S20+, Galaxy S21 FE, Galaxy S21, Galaxy S21+, Galaxy S22,  Galaxy S22+, Galaxy S23 FE,  Galaxy S23, Galaxy S22 Ultra, Galaxy S23+, Galaxy S23 Ultra, Galaxy S24, Galaxy S24+, Galaxy S24 Ultra, Samsung Galaxy S24 Fe, Galaxy Z Flip 5, Galaxy Z Flip 6, Galaxy Z Fold 5, Galaxy Z Fold 6, Samsung Galaxy S25, Samsung Galaxy S25+, Samsung Galaxy S25 Ultra
</t>
    </r>
    <r>
      <rPr>
        <b/>
        <sz val="26"/>
        <rFont val="Calibri"/>
        <family val="2"/>
        <scheme val="minor"/>
      </rPr>
      <t>APPLE</t>
    </r>
    <r>
      <rPr>
        <sz val="26"/>
        <rFont val="Calibri"/>
        <family val="2"/>
        <scheme val="minor"/>
      </rPr>
      <t xml:space="preserve">: iPhone 11, iPhone 12, iPhone 12 Pro, iPhone 12 Pro Max, iPhone 13, iPhone 13 Pro, iPhone 13 Pro Max, iPhone 14, iPhone 14 Plus, iPhone 14 Pro, iPhone 14 Pro Max, iPhone 15, iPhone 15 Plus, iPhone 15 Pro, iPhone 15 Pro Max, iPhone 16, iPhone 16 Plus, iPhone 16 Pro, iPhone 16 Pro Max
</t>
    </r>
    <r>
      <rPr>
        <b/>
        <sz val="26"/>
        <rFont val="Calibri"/>
        <family val="2"/>
        <scheme val="minor"/>
      </rPr>
      <t xml:space="preserve">MOTOROLA: </t>
    </r>
    <r>
      <rPr>
        <sz val="26"/>
        <rFont val="Calibri"/>
        <family val="2"/>
        <scheme val="minor"/>
      </rPr>
      <t xml:space="preserve">Motorola Razr+ 2023
</t>
    </r>
    <r>
      <rPr>
        <b/>
        <sz val="26"/>
        <rFont val="Calibri"/>
        <family val="2"/>
        <scheme val="minor"/>
      </rPr>
      <t>ONE PLUS:</t>
    </r>
    <r>
      <rPr>
        <sz val="26"/>
        <rFont val="Calibri"/>
        <family val="2"/>
        <scheme val="minor"/>
      </rPr>
      <t xml:space="preserve"> 10 Pro 5G, 9 Pro 5G
</t>
    </r>
    <r>
      <rPr>
        <b/>
        <sz val="26"/>
        <rFont val="Calibri"/>
        <family val="2"/>
        <scheme val="minor"/>
      </rPr>
      <t>GOOGLE:</t>
    </r>
    <r>
      <rPr>
        <sz val="26"/>
        <rFont val="Calibri"/>
        <family val="2"/>
        <scheme val="minor"/>
      </rPr>
      <t xml:space="preserve">  Pixel: 9 Pro Fold, 9 Pro XL, 9 Pro, 9, Fold, 8, 8 Pro, 7, 7 Pro, 6, 6 Pro
</t>
    </r>
    <r>
      <rPr>
        <b/>
        <sz val="26"/>
        <color rgb="FFFF0000"/>
        <rFont val="Calibri"/>
        <family val="2"/>
        <scheme val="minor"/>
      </rPr>
      <t xml:space="preserve">-Plan Individual- Aplica en plan individual  de $75 en adelante
</t>
    </r>
    <r>
      <rPr>
        <sz val="26"/>
        <rFont val="Calibri"/>
        <family val="2"/>
        <scheme val="minor"/>
      </rPr>
      <t>- EL CRÉDITO SE VERÁ EN LA CUENTA DEL CLIENTE A PARTIR DEL SEGUNDO CICLO DE FACTURACIÓN</t>
    </r>
    <r>
      <rPr>
        <b/>
        <sz val="26"/>
        <color rgb="FFFF0000"/>
        <rFont val="Calibri"/>
        <family val="2"/>
        <scheme val="minor"/>
      </rPr>
      <t xml:space="preserve">
</t>
    </r>
    <r>
      <rPr>
        <sz val="26"/>
        <rFont val="Calibri"/>
        <family val="2"/>
        <scheme val="minor"/>
      </rPr>
      <t xml:space="preserve">- Aunque los equipos estén en oferta, el cliente deberá pagar los taxes de todos los equipos que adquiera,  al momento de la activación.
- ESTA Oferta aplica solo a 30 PLAZOS. Créditos se comienzan a ver a partir de la 2nda factura.       </t>
    </r>
    <r>
      <rPr>
        <b/>
        <sz val="26"/>
        <rFont val="Calibri"/>
        <family val="2"/>
        <scheme val="minor"/>
      </rPr>
      <t xml:space="preserve">
-Apilca Bono de Streaming  si el cliente es convergente, el pago de equipo  es a 30 plazos o mas y cumple con todos los rerquisitos del mismo    </t>
    </r>
    <r>
      <rPr>
        <b/>
        <sz val="26"/>
        <color rgb="FFFF0000"/>
        <rFont val="Calibri"/>
        <family val="2"/>
        <scheme val="minor"/>
      </rPr>
      <t xml:space="preserve">
</t>
    </r>
    <r>
      <rPr>
        <b/>
        <sz val="26"/>
        <rFont val="Calibri"/>
        <family val="2"/>
        <scheme val="minor"/>
      </rPr>
      <t>-La oferta aplica en planes desde $75</t>
    </r>
    <r>
      <rPr>
        <sz val="26"/>
        <rFont val="Calibri"/>
        <family val="2"/>
        <scheme val="minor"/>
      </rPr>
      <t xml:space="preserve">
- Oferta valida en Financiamiento</t>
    </r>
    <r>
      <rPr>
        <b/>
        <sz val="26"/>
        <color rgb="FF0070C0"/>
        <rFont val="Calibri"/>
        <family val="2"/>
        <scheme val="minor"/>
      </rPr>
      <t xml:space="preserve">
Financiamiento- FIUP30</t>
    </r>
  </si>
  <si>
    <r>
      <rPr>
        <b/>
        <sz val="30"/>
        <color rgb="FFFF0000"/>
        <rFont val="Calibri"/>
        <family val="2"/>
        <scheme val="minor"/>
      </rPr>
      <t>NUEVO! IPHONE 16 128GB
NUEVO! Samsung Galaxy S25</t>
    </r>
    <r>
      <rPr>
        <sz val="30"/>
        <rFont val="Calibri"/>
        <family val="2"/>
        <scheme val="minor"/>
      </rPr>
      <t xml:space="preserve">
SAMSUNG GALAXY A07
MOTO G 2025 5G
</t>
    </r>
  </si>
  <si>
    <t>Samsung Galaxy S25+- Máximo 4 líneas por ban</t>
  </si>
  <si>
    <r>
      <t xml:space="preserve">- Aplica a portabilidades, líneas nuevas y renovaciones. 
</t>
    </r>
    <r>
      <rPr>
        <b/>
        <sz val="23.5"/>
        <color rgb="FFFF0000"/>
        <rFont val="Calibri"/>
        <family val="2"/>
        <scheme val="minor"/>
      </rPr>
      <t xml:space="preserve">El modelo Samsung Galaxy S25+ tiene como restricción que la oferta solo le aplicará a cuatro (4) líneas por BAN en planes multilíneas Business Red Plus, Business Red Extreme, Business Red Supreme y Business Red Sin Fronteras. 
</t>
    </r>
    <r>
      <rPr>
        <sz val="23.5"/>
        <color theme="1"/>
        <rFont val="Calibri"/>
        <family val="2"/>
        <scheme val="minor"/>
      </rPr>
      <t xml:space="preserve">- Oferta solo aplica a 30 plazos en Financiamiento.
-Apilca Bono de Streaming  si el cliente es convergente, el pago de equipo  es a 30 plazos o mas y cumple con todos los rerquisitos del mismo                                                                                                                                                                                                                  
 - Aunque los equipos estén en oferta, el cliente deberá pagar los taxes de todos los  equipos que adquiera, al momento de la activación.
- Aplican a Planes Claro Sin Fronteras.
</t>
    </r>
    <r>
      <rPr>
        <b/>
        <sz val="23.5"/>
        <color theme="1"/>
        <rFont val="Calibri"/>
        <family val="2"/>
        <scheme val="minor"/>
      </rPr>
      <t>- Los price codes a utilizar son:</t>
    </r>
    <r>
      <rPr>
        <b/>
        <sz val="23.5"/>
        <color rgb="FF0070C0"/>
        <rFont val="Calibri"/>
        <family val="2"/>
        <scheme val="minor"/>
      </rPr>
      <t xml:space="preserve">
Financiamiento- FIUP30</t>
    </r>
  </si>
  <si>
    <r>
      <rPr>
        <b/>
        <sz val="26"/>
        <color rgb="FFFF0000"/>
        <rFont val="Calibri"/>
        <family val="2"/>
        <scheme val="minor"/>
      </rPr>
      <t xml:space="preserve"> Equipo GRATIS
</t>
    </r>
    <r>
      <rPr>
        <b/>
        <sz val="26"/>
        <color theme="1"/>
        <rFont val="Calibri"/>
        <family val="2"/>
        <scheme val="minor"/>
      </rPr>
      <t xml:space="preserve">
</t>
    </r>
    <r>
      <rPr>
        <b/>
        <sz val="26"/>
        <color rgb="FF00B050"/>
        <rFont val="Calibri"/>
        <family val="2"/>
        <scheme val="minor"/>
      </rPr>
      <t>NO REQUIERE TRADE IN</t>
    </r>
    <r>
      <rPr>
        <b/>
        <sz val="26"/>
        <color theme="1"/>
        <rFont val="Calibri"/>
        <family val="2"/>
        <scheme val="minor"/>
      </rPr>
      <t xml:space="preserve">
</t>
    </r>
    <r>
      <rPr>
        <b/>
        <sz val="26"/>
        <color rgb="FF0070C0"/>
        <rFont val="Calibri"/>
        <family val="2"/>
        <scheme val="minor"/>
      </rPr>
      <t>CLIENTE NUEVO, PORTABILIDADES Y RENOVACIONES</t>
    </r>
    <r>
      <rPr>
        <b/>
        <sz val="26"/>
        <color theme="1"/>
        <rFont val="Calibri"/>
        <family val="2"/>
        <scheme val="minor"/>
      </rPr>
      <t xml:space="preserve">
SOLO 30 PLAZOS</t>
    </r>
  </si>
  <si>
    <t>'iPhone Air 512GB
iPhone 17 Pro Max 256GB</t>
  </si>
  <si>
    <t>OFERTAS DE EQUIPOS EN PORTAFOLIO 1RO AL 17 DE DICIEMBRE DE 2025- APLICA A CANAL PYMES
FINANCIAMIENTO</t>
  </si>
  <si>
    <t>OFERTAS DE EQUIPOS EN PORTAFOLIO DEL 1RO AL 17 DE DICIEMBRE DE 2025
 FINANCIAMIENTO  - PYMES</t>
  </si>
  <si>
    <r>
      <rPr>
        <b/>
        <sz val="26"/>
        <color rgb="FFFF0000"/>
        <rFont val="Calibri"/>
        <family val="2"/>
        <scheme val="minor"/>
      </rPr>
      <t>IPHONE 17 PRO 256GB - Máximo 4 líneas por ban en planes multilíneas Business  Red Plus en adelante solamente.</t>
    </r>
    <r>
      <rPr>
        <sz val="26"/>
        <rFont val="Calibri"/>
        <family val="2"/>
        <scheme val="minor"/>
      </rPr>
      <t xml:space="preserve">
</t>
    </r>
    <r>
      <rPr>
        <b/>
        <sz val="26"/>
        <color rgb="FFFF0000"/>
        <rFont val="Calibri"/>
        <family val="2"/>
        <scheme val="minor"/>
      </rPr>
      <t>NUEVO! iPhone 17 256GB-Máximo 4 líneas por ban en planes multilíneas Business  Red Plus en adelante solamente.</t>
    </r>
    <r>
      <rPr>
        <sz val="26"/>
        <rFont val="Calibri"/>
        <family val="2"/>
        <scheme val="minor"/>
      </rPr>
      <t xml:space="preserve">
iPhone Air 256GB- Máximo 4 líneas por ban en planes multilíneas Business  Red Plus en adelante solamente.</t>
    </r>
  </si>
  <si>
    <r>
      <t xml:space="preserve">- Aplica a portabilidades, líneas nuevas y renovaciones. 
</t>
    </r>
    <r>
      <rPr>
        <b/>
        <sz val="23.5"/>
        <color rgb="FFFF0000"/>
        <rFont val="Calibri"/>
        <family val="2"/>
        <scheme val="minor"/>
      </rPr>
      <t xml:space="preserve">El modelo iPhone 17, iPhone 17 Pro 256GB y el iPhone Air 256GB tienen como restricción que la oferta solo le aplicará a cuatro (4) líneas por ban en planes multilíneas Business Red Plus, Business Red Extreme, Business Red Supreme y Business Red Sin Fronteras. </t>
    </r>
    <r>
      <rPr>
        <sz val="23.5"/>
        <color theme="1"/>
        <rFont val="Calibri"/>
        <family val="2"/>
        <scheme val="minor"/>
      </rPr>
      <t xml:space="preserve">
-Oferta solo aplica a 30 plazos en Financiamiento.
-Apilca Bono de Streaming  si el cliente es convergente, el pago de equipo  es a 30 plazos o mas y cumple con todos los rerquisitos del mismo                                                                                                                                                                                                                  
 - Aunque los equipos estén en oferta, el cliente deberá pagar los taxes de todos los  equipos que adquiera, al momento de la activación.
- Aplican a Planes Claro Sin Fronteras.
</t>
    </r>
    <r>
      <rPr>
        <b/>
        <sz val="23.5"/>
        <color theme="1"/>
        <rFont val="Calibri"/>
        <family val="2"/>
        <scheme val="minor"/>
      </rPr>
      <t>- Los price codes a utilizar son:</t>
    </r>
    <r>
      <rPr>
        <b/>
        <sz val="23.5"/>
        <color rgb="FF0070C0"/>
        <rFont val="Calibri"/>
        <family val="2"/>
        <scheme val="minor"/>
      </rPr>
      <t xml:space="preserve">
Financiamiento- FIUP30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</si>
</sst>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0.0"/>
    <numFmt numFmtId="165" formatCode="0.0%"/>
    <numFmt numFmtId="166" formatCode="#,##0.0_);[Red]\(#,##0.0\)"/>
    <numFmt numFmtId="167" formatCode="mm/dd/yy"/>
    <numFmt numFmtId="168" formatCode="#,##0;\-#,##0;&quot;-&quot;"/>
    <numFmt numFmtId="169" formatCode="####"/>
    <numFmt numFmtId="170" formatCode="00000000"/>
    <numFmt numFmtId="171" formatCode="0.00;[Red]0.00"/>
    <numFmt numFmtId="172" formatCode="_-* #,##0\ &quot;Pts&quot;_-;\-* #,##0\ &quot;Pts&quot;_-;_-* &quot;-&quot;\ &quot;Pts&quot;_-;_-@_-"/>
    <numFmt numFmtId="173" formatCode="_-* #,##0\ _P_t_s_-;\-* #,##0\ _P_t_s_-;_-* &quot;-&quot;\ _P_t_s_-;_-@_-"/>
    <numFmt numFmtId="174" formatCode="_-* #,##0.00\ &quot;Pts&quot;_-;\-* #,##0.00\ &quot;Pts&quot;_-;_-* &quot;-&quot;??\ &quot;Pts&quot;_-;_-@_-"/>
    <numFmt numFmtId="175" formatCode="_-* #,##0.00\ _P_t_s_-;\-* #,##0.00\ _P_t_s_-;_-* &quot;-&quot;??\ _P_t_s_-;_-@_-"/>
    <numFmt numFmtId="176" formatCode="_(* #,##0.000000_);_(* \(#,##0.000000\);_(* &quot;-&quot;??_);_(@_)"/>
    <numFmt numFmtId="177" formatCode="#,##0.00000_);\(#,##0.00000\)"/>
    <numFmt numFmtId="178" formatCode="0.00_);\(0.00\)"/>
    <numFmt numFmtId="179" formatCode="_ [$€-2]\ * #,##0.00_ ;_ [$€-2]\ * \-#,##0.00_ ;_ [$€-2]\ * &quot;-&quot;??_ "/>
    <numFmt numFmtId="180" formatCode="0.000_);\(0.000\)"/>
    <numFmt numFmtId="181" formatCode="#,##0.00;;0"/>
    <numFmt numFmtId="182" formatCode="&quot;$&quot;#,##0.00"/>
  </numFmts>
  <fonts count="175">
    <font>
      <sz val="11"/>
      <color theme="1"/>
      <name val="Calibri"/>
      <family val="2"/>
      <scheme val="minor"/>
    </font>
    <font>
      <sz val="10"/>
      <name val="Arial"/>
      <family val="2"/>
    </font>
    <font>
      <sz val="10"/>
      <name val="Arial"/>
      <family val="2"/>
    </font>
    <font>
      <b/>
      <sz val="12"/>
      <name val="Arial"/>
      <family val="2"/>
    </font>
    <font>
      <b/>
      <sz val="11"/>
      <name val="Arial"/>
      <family val="2"/>
    </font>
    <font>
      <sz val="8"/>
      <name val="Antique Olive"/>
      <family val="2"/>
    </font>
    <font>
      <sz val="8"/>
      <name val="Geneva"/>
      <family val="2"/>
    </font>
    <font>
      <sz val="8"/>
      <name val="Times New Roman"/>
      <family val="1"/>
    </font>
    <font>
      <b/>
      <sz val="10"/>
      <color indexed="12"/>
      <name val="MS Sans Serif"/>
      <family val="2"/>
    </font>
    <font>
      <b/>
      <sz val="10"/>
      <color indexed="19"/>
      <name val="MS Sans Serif"/>
      <family val="2"/>
    </font>
    <font>
      <sz val="10"/>
      <color indexed="8"/>
      <name val="Arial"/>
      <family val="2"/>
    </font>
    <font>
      <sz val="10"/>
      <name val="MS Serif"/>
      <family val="1"/>
    </font>
    <font>
      <b/>
      <sz val="10"/>
      <color indexed="14"/>
      <name val="MS Sans Serif"/>
      <family val="2"/>
    </font>
    <font>
      <b/>
      <sz val="10"/>
      <color indexed="21"/>
      <name val="MS Sans Serif"/>
      <family val="2"/>
    </font>
    <font>
      <sz val="10"/>
      <name val="Helv"/>
    </font>
    <font>
      <sz val="10"/>
      <color indexed="16"/>
      <name val="MS Serif"/>
      <family val="1"/>
    </font>
    <font>
      <sz val="10"/>
      <name val="Times New Roman"/>
      <family val="1"/>
    </font>
    <font>
      <sz val="10"/>
      <name val="Tms Rmn"/>
    </font>
    <font>
      <b/>
      <sz val="10"/>
      <color indexed="11"/>
      <name val="MS Sans Serif"/>
      <family val="2"/>
    </font>
    <font>
      <sz val="8"/>
      <name val="Arial"/>
      <family val="2"/>
    </font>
    <font>
      <b/>
      <sz val="8"/>
      <name val="MS Sans Serif"/>
      <family val="2"/>
    </font>
    <font>
      <b/>
      <i/>
      <sz val="10"/>
      <color indexed="10"/>
      <name val="MS Sans Serif"/>
      <family val="2"/>
    </font>
    <font>
      <i/>
      <sz val="10"/>
      <color indexed="12"/>
      <name val="MS Sans Serif"/>
      <family val="2"/>
    </font>
    <font>
      <u/>
      <sz val="10"/>
      <color indexed="20"/>
      <name val="MS Sans Serif"/>
      <family val="2"/>
    </font>
    <font>
      <sz val="10"/>
      <name val="MS Sans Serif"/>
      <family val="2"/>
    </font>
    <font>
      <sz val="7"/>
      <name val="Small Fonts"/>
      <family val="2"/>
    </font>
    <font>
      <b/>
      <i/>
      <sz val="16"/>
      <name val="Helv"/>
    </font>
    <font>
      <i/>
      <sz val="7"/>
      <color indexed="12"/>
      <name val="Arial"/>
      <family val="2"/>
    </font>
    <font>
      <b/>
      <sz val="10"/>
      <color indexed="10"/>
      <name val="MS Sans Serif"/>
      <family val="2"/>
    </font>
    <font>
      <sz val="8"/>
      <name val="Wingdings"/>
      <charset val="2"/>
    </font>
    <font>
      <sz val="8"/>
      <name val="Helv"/>
    </font>
    <font>
      <u/>
      <sz val="8"/>
      <color indexed="10"/>
      <name val="Arial"/>
      <family val="2"/>
    </font>
    <font>
      <u/>
      <sz val="7"/>
      <color indexed="10"/>
      <name val="Arial"/>
      <family val="2"/>
    </font>
    <font>
      <sz val="8"/>
      <name val="MS Sans Serif"/>
      <family val="2"/>
    </font>
    <font>
      <b/>
      <sz val="12"/>
      <name val="MS Sans Serif"/>
      <family val="2"/>
    </font>
    <font>
      <sz val="12"/>
      <name val="MS Sans Serif"/>
      <family val="2"/>
    </font>
    <font>
      <b/>
      <sz val="8"/>
      <color indexed="8"/>
      <name val="Helv"/>
    </font>
    <font>
      <b/>
      <sz val="12"/>
      <color indexed="16"/>
      <name val="Helvetic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Tahoma"/>
      <family val="2"/>
    </font>
    <font>
      <b/>
      <sz val="36"/>
      <color theme="0"/>
      <name val="Calibri"/>
      <family val="2"/>
      <scheme val="minor"/>
    </font>
    <font>
      <sz val="36"/>
      <color theme="0"/>
      <name val="Calibri"/>
      <family val="2"/>
      <scheme val="minor"/>
    </font>
    <font>
      <sz val="18"/>
      <color theme="1"/>
      <name val="Calibri"/>
      <family val="2"/>
      <scheme val="minor"/>
    </font>
    <font>
      <b/>
      <sz val="22"/>
      <color theme="0"/>
      <name val="Calibri"/>
      <family val="2"/>
      <scheme val="minor"/>
    </font>
    <font>
      <sz val="22"/>
      <color theme="1"/>
      <name val="Calibri"/>
      <family val="2"/>
      <scheme val="minor"/>
    </font>
    <font>
      <sz val="22"/>
      <name val="Calibri"/>
      <family val="2"/>
      <scheme val="minor"/>
    </font>
    <font>
      <sz val="12"/>
      <color theme="1"/>
      <name val="Calibri"/>
      <family val="2"/>
      <scheme val="minor"/>
    </font>
    <font>
      <b/>
      <sz val="28"/>
      <color theme="1"/>
      <name val="Calibri"/>
      <family val="2"/>
      <scheme val="minor"/>
    </font>
    <font>
      <b/>
      <sz val="22"/>
      <name val="Calibri"/>
      <family val="2"/>
      <scheme val="minor"/>
    </font>
    <font>
      <b/>
      <sz val="22"/>
      <color rgb="FFFF0000"/>
      <name val="Calibri"/>
      <family val="2"/>
      <scheme val="minor"/>
    </font>
    <font>
      <b/>
      <sz val="36"/>
      <color theme="1"/>
      <name val="Calibri"/>
      <family val="2"/>
      <scheme val="minor"/>
    </font>
    <font>
      <b/>
      <sz val="48"/>
      <color theme="1"/>
      <name val="Calibri"/>
      <family val="2"/>
      <scheme val="minor"/>
    </font>
    <font>
      <b/>
      <sz val="28"/>
      <color theme="0"/>
      <name val="Calibri"/>
      <family val="2"/>
      <scheme val="minor"/>
    </font>
    <font>
      <b/>
      <sz val="26"/>
      <color rgb="FFFF0000"/>
      <name val="Calibri"/>
      <family val="2"/>
      <scheme val="minor"/>
    </font>
    <font>
      <sz val="26"/>
      <color theme="1"/>
      <name val="Calibri"/>
      <family val="2"/>
      <scheme val="minor"/>
    </font>
    <font>
      <sz val="26"/>
      <name val="Calibri"/>
      <family val="2"/>
      <scheme val="minor"/>
    </font>
    <font>
      <b/>
      <sz val="26"/>
      <name val="Calibri"/>
      <family val="2"/>
      <scheme val="minor"/>
    </font>
    <font>
      <b/>
      <sz val="26"/>
      <color theme="1"/>
      <name val="Calibri"/>
      <family val="2"/>
      <scheme val="minor"/>
    </font>
    <font>
      <sz val="28"/>
      <name val="Calibri"/>
      <family val="2"/>
      <scheme val="minor"/>
    </font>
    <font>
      <b/>
      <sz val="28"/>
      <name val="Calibri"/>
      <family val="2"/>
      <scheme val="minor"/>
    </font>
    <font>
      <b/>
      <sz val="26"/>
      <color theme="0"/>
      <name val="Calibri"/>
      <family val="2"/>
      <scheme val="minor"/>
    </font>
    <font>
      <b/>
      <sz val="28"/>
      <color rgb="FFFF0000"/>
      <name val="Calibri"/>
      <family val="2"/>
      <scheme val="minor"/>
    </font>
    <font>
      <sz val="8"/>
      <name val="Calibri"/>
      <family val="2"/>
      <scheme val="minor"/>
    </font>
    <font>
      <b/>
      <sz val="28"/>
      <color rgb="FF0070C0"/>
      <name val="Calibri"/>
      <family val="2"/>
      <scheme val="minor"/>
    </font>
    <font>
      <sz val="28"/>
      <color theme="1"/>
      <name val="Calibri"/>
      <family val="2"/>
      <scheme val="minor"/>
    </font>
    <font>
      <b/>
      <sz val="48"/>
      <color rgb="FFFF0000"/>
      <name val="Calibri"/>
      <family val="2"/>
      <scheme val="minor"/>
    </font>
    <font>
      <sz val="30"/>
      <name val="Calibri"/>
      <family val="2"/>
      <scheme val="minor"/>
    </font>
    <font>
      <b/>
      <sz val="26"/>
      <color rgb="FF0070C0"/>
      <name val="Calibri"/>
      <family val="2"/>
      <scheme val="minor"/>
    </font>
    <font>
      <b/>
      <sz val="24"/>
      <name val="Calibri"/>
      <family val="2"/>
      <scheme val="minor"/>
    </font>
    <font>
      <b/>
      <sz val="72"/>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24"/>
      <color indexed="9"/>
      <name val="Calibri"/>
      <family val="2"/>
      <scheme val="minor"/>
    </font>
    <font>
      <b/>
      <sz val="14"/>
      <color indexed="9"/>
      <name val="Calibri"/>
      <family val="2"/>
      <scheme val="minor"/>
    </font>
    <font>
      <b/>
      <sz val="14"/>
      <color theme="0"/>
      <name val="Calibri"/>
      <family val="2"/>
      <scheme val="minor"/>
    </font>
    <font>
      <b/>
      <sz val="11"/>
      <color rgb="FFFF0000"/>
      <name val="Calibri"/>
      <family val="2"/>
      <scheme val="minor"/>
    </font>
    <font>
      <sz val="11"/>
      <color rgb="FFC00000"/>
      <name val="Calibri"/>
      <family val="2"/>
      <scheme val="minor"/>
    </font>
    <font>
      <b/>
      <sz val="14"/>
      <color rgb="FFFF0000"/>
      <name val="Calibri"/>
      <family val="2"/>
      <scheme val="minor"/>
    </font>
    <font>
      <b/>
      <sz val="22"/>
      <color indexed="9"/>
      <name val="Calibri"/>
      <family val="2"/>
      <scheme val="minor"/>
    </font>
    <font>
      <sz val="14"/>
      <color theme="1"/>
      <name val="Calibri"/>
      <family val="2"/>
      <scheme val="minor"/>
    </font>
    <font>
      <b/>
      <sz val="14"/>
      <color rgb="FFFF0000"/>
      <name val="Calibri"/>
      <family val="2"/>
    </font>
    <font>
      <b/>
      <sz val="26"/>
      <color rgb="FF00B050"/>
      <name val="Calibri"/>
      <family val="2"/>
      <scheme val="minor"/>
    </font>
    <font>
      <b/>
      <sz val="30"/>
      <color rgb="FFFF0000"/>
      <name val="Calibri"/>
      <family val="2"/>
      <scheme val="minor"/>
    </font>
    <font>
      <sz val="11"/>
      <name val="Calibri"/>
      <family val="2"/>
      <scheme val="minor"/>
    </font>
    <font>
      <sz val="14"/>
      <color theme="1"/>
      <name val="Calibri"/>
      <family val="2"/>
    </font>
    <font>
      <sz val="14"/>
      <color rgb="FFFF0000"/>
      <name val="Calibri"/>
      <family val="2"/>
    </font>
    <font>
      <b/>
      <sz val="14"/>
      <color rgb="FF000000"/>
      <name val="Calibri"/>
      <family val="2"/>
    </font>
    <font>
      <sz val="11"/>
      <name val="Calibri"/>
      <family val="2"/>
    </font>
    <font>
      <sz val="11"/>
      <color rgb="FF3F3F3F"/>
      <name val="Calibri"/>
      <family val="2"/>
    </font>
    <font>
      <b/>
      <sz val="11"/>
      <color rgb="FFFF0000"/>
      <name val="Calibri"/>
      <family val="2"/>
    </font>
    <font>
      <b/>
      <sz val="48"/>
      <color theme="0"/>
      <name val="Calibri"/>
      <family val="2"/>
      <scheme val="minor"/>
    </font>
    <font>
      <b/>
      <sz val="36"/>
      <color rgb="FFFF0000"/>
      <name val="Calibri"/>
      <family val="2"/>
    </font>
    <font>
      <b/>
      <sz val="48"/>
      <color rgb="FFFF0000"/>
      <name val="Calibri"/>
      <family val="2"/>
    </font>
    <font>
      <b/>
      <sz val="36"/>
      <color rgb="FFFF0000"/>
      <name val="Calibri"/>
      <family val="2"/>
      <scheme val="minor"/>
    </font>
    <font>
      <b/>
      <sz val="24"/>
      <color rgb="FFFF0000"/>
      <name val="Calibri"/>
      <family val="2"/>
      <scheme val="minor"/>
    </font>
    <font>
      <b/>
      <sz val="24"/>
      <color rgb="FF0066FF"/>
      <name val="Calibri"/>
      <family val="2"/>
      <scheme val="minor"/>
    </font>
    <font>
      <b/>
      <sz val="24"/>
      <color rgb="FF00B050"/>
      <name val="Calibri"/>
      <family val="2"/>
      <scheme val="minor"/>
    </font>
    <font>
      <b/>
      <sz val="22"/>
      <color rgb="FF0070C0"/>
      <name val="Calibri"/>
      <family val="2"/>
      <scheme val="minor"/>
    </font>
    <font>
      <sz val="14"/>
      <name val="Calibri"/>
      <family val="2"/>
    </font>
    <font>
      <sz val="10"/>
      <name val="Calibri"/>
      <family val="2"/>
      <scheme val="minor"/>
    </font>
    <font>
      <sz val="14"/>
      <name val="Calibri"/>
      <family val="2"/>
      <scheme val="minor"/>
    </font>
    <font>
      <sz val="48"/>
      <color theme="1"/>
      <name val="Calibri"/>
      <family val="2"/>
      <scheme val="minor"/>
    </font>
    <font>
      <b/>
      <sz val="28"/>
      <name val="Calibri"/>
      <family val="2"/>
    </font>
    <font>
      <sz val="14"/>
      <color rgb="FF3F3F3F"/>
      <name val="Calibri"/>
      <family val="2"/>
    </font>
    <font>
      <b/>
      <sz val="11"/>
      <name val="Calibri"/>
      <family val="2"/>
      <scheme val="minor"/>
    </font>
    <font>
      <sz val="30"/>
      <color rgb="FFFF0000"/>
      <name val="Calibri"/>
      <family val="2"/>
      <scheme val="minor"/>
    </font>
    <font>
      <b/>
      <u/>
      <sz val="30"/>
      <color rgb="FFFF0000"/>
      <name val="Calibri"/>
      <family val="2"/>
      <scheme val="minor"/>
    </font>
    <font>
      <i/>
      <sz val="28"/>
      <name val="Calibri"/>
      <family val="2"/>
      <scheme val="minor"/>
    </font>
    <font>
      <b/>
      <i/>
      <sz val="28"/>
      <color rgb="FFFF0000"/>
      <name val="Calibri"/>
      <family val="2"/>
      <scheme val="minor"/>
    </font>
    <font>
      <b/>
      <i/>
      <sz val="28"/>
      <color rgb="FF00B0F0"/>
      <name val="Calibri"/>
      <family val="2"/>
      <scheme val="minor"/>
    </font>
    <font>
      <b/>
      <sz val="22"/>
      <color theme="1"/>
      <name val="Calibri"/>
      <family val="2"/>
      <scheme val="minor"/>
    </font>
    <font>
      <b/>
      <sz val="22"/>
      <color rgb="FF0066FF"/>
      <name val="Calibri"/>
      <family val="2"/>
      <scheme val="minor"/>
    </font>
    <font>
      <b/>
      <sz val="14"/>
      <color theme="1"/>
      <name val="Calibri"/>
      <family val="2"/>
    </font>
    <font>
      <b/>
      <sz val="14"/>
      <name val="Calibri"/>
      <family val="2"/>
    </font>
    <font>
      <b/>
      <sz val="14"/>
      <color rgb="FF3F3F3F"/>
      <name val="Calibri"/>
      <family val="2"/>
    </font>
    <font>
      <sz val="20"/>
      <name val="Calibri"/>
      <family val="2"/>
      <scheme val="minor"/>
    </font>
    <font>
      <b/>
      <sz val="20"/>
      <name val="Calibri"/>
      <family val="2"/>
      <scheme val="minor"/>
    </font>
    <font>
      <b/>
      <sz val="20"/>
      <color theme="1"/>
      <name val="Calibri"/>
      <family val="2"/>
      <scheme val="minor"/>
    </font>
    <font>
      <b/>
      <sz val="20"/>
      <color rgb="FFFF0000"/>
      <name val="Calibri"/>
      <family val="2"/>
      <scheme val="minor"/>
    </font>
    <font>
      <sz val="20"/>
      <color theme="1"/>
      <name val="Calibri"/>
      <family val="2"/>
      <scheme val="minor"/>
    </font>
    <font>
      <sz val="20"/>
      <color rgb="FFFF0000"/>
      <name val="Calibri"/>
      <family val="2"/>
      <scheme val="minor"/>
    </font>
    <font>
      <sz val="18"/>
      <name val="Calibri"/>
      <family val="2"/>
      <scheme val="minor"/>
    </font>
    <font>
      <sz val="30"/>
      <color rgb="FFFF0066"/>
      <name val="Calibri"/>
      <family val="2"/>
      <scheme val="minor"/>
    </font>
    <font>
      <sz val="22"/>
      <color rgb="FFFF0066"/>
      <name val="Calibri"/>
      <family val="2"/>
      <scheme val="minor"/>
    </font>
    <font>
      <sz val="24"/>
      <name val="Calibri"/>
      <family val="2"/>
      <scheme val="minor"/>
    </font>
    <font>
      <b/>
      <sz val="24"/>
      <color rgb="FF0070C0"/>
      <name val="Calibri"/>
      <family val="2"/>
      <scheme val="minor"/>
    </font>
    <font>
      <b/>
      <sz val="26"/>
      <color rgb="FF0066FF"/>
      <name val="Calibri"/>
      <family val="2"/>
      <scheme val="minor"/>
    </font>
    <font>
      <sz val="30"/>
      <color theme="1"/>
      <name val="Calibri"/>
      <family val="2"/>
      <scheme val="minor"/>
    </font>
    <font>
      <sz val="24"/>
      <color rgb="FFFF0000"/>
      <name val="Calibri"/>
      <family val="2"/>
      <scheme val="minor"/>
    </font>
    <font>
      <b/>
      <u/>
      <sz val="28"/>
      <color rgb="FFFF0000"/>
      <name val="Calibri"/>
      <family val="2"/>
      <scheme val="minor"/>
    </font>
    <font>
      <b/>
      <sz val="30"/>
      <name val="Calibri"/>
      <family val="2"/>
      <scheme val="minor"/>
    </font>
    <font>
      <sz val="28"/>
      <color rgb="FFFF0000"/>
      <name val="Calibri"/>
      <family val="2"/>
      <scheme val="minor"/>
    </font>
    <font>
      <b/>
      <sz val="48"/>
      <name val="Calibri"/>
      <family val="2"/>
      <scheme val="minor"/>
    </font>
    <font>
      <sz val="48"/>
      <name val="Calibri"/>
      <family val="2"/>
      <scheme val="minor"/>
    </font>
    <font>
      <b/>
      <sz val="48"/>
      <color rgb="FF0070C0"/>
      <name val="Calibri"/>
      <family val="2"/>
      <scheme val="minor"/>
    </font>
    <font>
      <sz val="36"/>
      <name val="Calibri"/>
      <family val="2"/>
      <scheme val="minor"/>
    </font>
    <font>
      <sz val="36"/>
      <color rgb="FF0070C0"/>
      <name val="Calibri"/>
      <family val="2"/>
      <scheme val="minor"/>
    </font>
    <font>
      <b/>
      <sz val="20"/>
      <color rgb="FF00B0F0"/>
      <name val="Calibri"/>
      <family val="2"/>
      <scheme val="minor"/>
    </font>
    <font>
      <b/>
      <sz val="12"/>
      <color rgb="FF3F3F3F"/>
      <name val="Arial"/>
      <family val="2"/>
    </font>
    <font>
      <b/>
      <sz val="20"/>
      <color rgb="FF0070C0"/>
      <name val="Calibri"/>
      <family val="2"/>
      <scheme val="minor"/>
    </font>
    <font>
      <b/>
      <sz val="36"/>
      <name val="Calibri"/>
      <family val="2"/>
      <scheme val="minor"/>
    </font>
    <font>
      <sz val="26"/>
      <color rgb="FFFF0000"/>
      <name val="Calibri"/>
      <family val="2"/>
      <scheme val="minor"/>
    </font>
    <font>
      <sz val="22"/>
      <name val="Calibri"/>
      <family val="2"/>
    </font>
    <font>
      <b/>
      <sz val="22"/>
      <color rgb="FFEE0000"/>
      <name val="Calibri"/>
      <family val="2"/>
      <scheme val="minor"/>
    </font>
    <font>
      <b/>
      <sz val="11"/>
      <color rgb="FFEE0000"/>
      <name val="Calibri"/>
      <family val="2"/>
      <scheme val="minor"/>
    </font>
    <font>
      <b/>
      <sz val="28"/>
      <color rgb="FFEE0000"/>
      <name val="Calibri"/>
      <family val="2"/>
      <scheme val="minor"/>
    </font>
    <font>
      <b/>
      <u/>
      <sz val="36"/>
      <name val="Calibri"/>
      <family val="2"/>
      <scheme val="minor"/>
    </font>
    <font>
      <sz val="24"/>
      <color theme="1"/>
      <name val="Calibri"/>
      <family val="2"/>
      <scheme val="minor"/>
    </font>
    <font>
      <b/>
      <sz val="24"/>
      <color theme="1"/>
      <name val="Calibri"/>
      <family val="2"/>
      <scheme val="minor"/>
    </font>
    <font>
      <sz val="23.5"/>
      <color theme="1"/>
      <name val="Calibri"/>
      <family val="2"/>
      <scheme val="minor"/>
    </font>
    <font>
      <b/>
      <sz val="23.5"/>
      <color rgb="FFFF0000"/>
      <name val="Calibri"/>
      <family val="2"/>
      <scheme val="minor"/>
    </font>
    <font>
      <b/>
      <sz val="23.5"/>
      <color theme="1"/>
      <name val="Calibri"/>
      <family val="2"/>
      <scheme val="minor"/>
    </font>
    <font>
      <b/>
      <sz val="23.5"/>
      <color rgb="FF0070C0"/>
      <name val="Calibri"/>
      <family val="2"/>
      <scheme val="minor"/>
    </font>
    <font>
      <u/>
      <sz val="30"/>
      <name val="Calibri"/>
      <family val="2"/>
      <scheme val="minor"/>
    </font>
    <font>
      <sz val="22"/>
      <color rgb="FF0070C0"/>
      <name val="Calibri"/>
      <family val="2"/>
      <scheme val="minor"/>
    </font>
    <font>
      <sz val="22"/>
      <color theme="1"/>
      <name val="Calibri"/>
      <family val="2"/>
    </font>
    <font>
      <b/>
      <i/>
      <u/>
      <sz val="36"/>
      <color rgb="FFFF0000"/>
      <name val="Calibri"/>
      <family val="2"/>
      <scheme val="minor"/>
    </font>
    <font>
      <b/>
      <sz val="22"/>
      <color rgb="FFFF0000"/>
      <name val="Calibri"/>
      <family val="2"/>
    </font>
  </fonts>
  <fills count="4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patternFill>
    </fill>
    <fill>
      <patternFill patternType="darkVertical"/>
    </fill>
    <fill>
      <patternFill patternType="solid">
        <fgColor indexed="9"/>
        <bgColor indexed="9"/>
      </patternFill>
    </fill>
    <fill>
      <patternFill patternType="solid">
        <fgColor theme="0"/>
        <bgColor indexed="64"/>
      </patternFill>
    </fill>
    <fill>
      <patternFill patternType="solid">
        <fgColor theme="2" tint="-9.9978637043366805E-2"/>
        <bgColor indexed="64"/>
      </patternFill>
    </fill>
    <fill>
      <patternFill patternType="solid">
        <fgColor rgb="FF0070C0"/>
        <bgColor indexed="64"/>
      </patternFill>
    </fill>
    <fill>
      <patternFill patternType="solid">
        <fgColor theme="7" tint="-0.249977111117893"/>
        <bgColor indexed="64"/>
      </patternFill>
    </fill>
    <fill>
      <patternFill patternType="solid">
        <fgColor rgb="FF7C8B4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rgb="FFC00000"/>
        <bgColor indexed="64"/>
      </patternFill>
    </fill>
    <fill>
      <patternFill patternType="solid">
        <fgColor rgb="FF002060"/>
        <bgColor indexed="64"/>
      </patternFill>
    </fill>
    <fill>
      <patternFill patternType="solid">
        <fgColor rgb="FFFFFFFF"/>
        <bgColor indexed="64"/>
      </patternFill>
    </fill>
    <fill>
      <patternFill patternType="solid">
        <fgColor theme="7" tint="0.59999389629810485"/>
        <bgColor indexed="64"/>
      </patternFill>
    </fill>
    <fill>
      <patternFill patternType="solid">
        <fgColor theme="6" tint="0.79998168889431442"/>
        <bgColor indexed="64"/>
      </patternFill>
    </fill>
  </fills>
  <borders count="7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475">
    <xf numFmtId="0" fontId="0"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5" fillId="0" borderId="0">
      <alignment horizontal="left"/>
    </xf>
    <xf numFmtId="170" fontId="6" fillId="0" borderId="0">
      <alignment horizontal="left"/>
    </xf>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3" borderId="0" applyNumberFormat="0" applyBorder="0" applyAlignment="0" applyProtection="0"/>
    <xf numFmtId="0" fontId="38" fillId="3" borderId="0" applyNumberFormat="0" applyBorder="0" applyAlignment="0" applyProtection="0"/>
    <xf numFmtId="0" fontId="38" fillId="3" borderId="0" applyNumberFormat="0" applyBorder="0" applyAlignment="0" applyProtection="0"/>
    <xf numFmtId="0" fontId="38" fillId="3" borderId="0" applyNumberFormat="0" applyBorder="0" applyAlignment="0" applyProtection="0"/>
    <xf numFmtId="0" fontId="38" fillId="3"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7" fillId="0" borderId="0">
      <alignment horizontal="center" wrapText="1"/>
      <protection locked="0"/>
    </xf>
    <xf numFmtId="0" fontId="40" fillId="3" borderId="0" applyNumberFormat="0" applyBorder="0" applyAlignment="0" applyProtection="0"/>
    <xf numFmtId="0" fontId="40" fillId="3" borderId="0" applyNumberFormat="0" applyBorder="0" applyAlignment="0" applyProtection="0"/>
    <xf numFmtId="0" fontId="40" fillId="3" borderId="0" applyNumberFormat="0" applyBorder="0" applyAlignment="0" applyProtection="0"/>
    <xf numFmtId="0" fontId="40" fillId="3" borderId="0" applyNumberFormat="0" applyBorder="0" applyAlignment="0" applyProtection="0"/>
    <xf numFmtId="0" fontId="40" fillId="3" borderId="0" applyNumberFormat="0" applyBorder="0" applyAlignment="0" applyProtection="0"/>
    <xf numFmtId="0" fontId="6" fillId="0" borderId="0" applyFont="0" applyFill="0" applyBorder="0" applyAlignment="0" applyProtection="0">
      <alignment horizontal="right"/>
    </xf>
    <xf numFmtId="0" fontId="8" fillId="0" borderId="0"/>
    <xf numFmtId="0" fontId="9" fillId="0" borderId="0"/>
    <xf numFmtId="168" fontId="10" fillId="0" borderId="0" applyFill="0" applyBorder="0" applyAlignment="0"/>
    <xf numFmtId="0" fontId="41" fillId="20" borderId="1" applyNumberFormat="0" applyAlignment="0" applyProtection="0"/>
    <xf numFmtId="0" fontId="41" fillId="20" borderId="1" applyNumberFormat="0" applyAlignment="0" applyProtection="0"/>
    <xf numFmtId="0" fontId="41" fillId="20" borderId="1" applyNumberFormat="0" applyAlignment="0" applyProtection="0"/>
    <xf numFmtId="0" fontId="41" fillId="20" borderId="1" applyNumberFormat="0" applyAlignment="0" applyProtection="0"/>
    <xf numFmtId="0" fontId="41" fillId="20" borderId="1" applyNumberFormat="0" applyAlignment="0" applyProtection="0"/>
    <xf numFmtId="0" fontId="42" fillId="21" borderId="2" applyNumberFormat="0" applyAlignment="0" applyProtection="0"/>
    <xf numFmtId="0" fontId="42" fillId="21" borderId="2" applyNumberFormat="0" applyAlignment="0" applyProtection="0"/>
    <xf numFmtId="0" fontId="42" fillId="21" borderId="2" applyNumberFormat="0" applyAlignment="0" applyProtection="0"/>
    <xf numFmtId="0" fontId="42" fillId="21" borderId="2" applyNumberFormat="0" applyAlignment="0" applyProtection="0"/>
    <xf numFmtId="0" fontId="42" fillId="21" borderId="2" applyNumberFormat="0" applyAlignment="0" applyProtection="0"/>
    <xf numFmtId="0" fontId="11" fillId="0" borderId="0" applyNumberFormat="0" applyAlignment="0">
      <alignment horizontal="left"/>
    </xf>
    <xf numFmtId="44" fontId="2" fillId="0" borderId="0" applyFont="0" applyFill="0" applyBorder="0" applyAlignment="0" applyProtection="0"/>
    <xf numFmtId="0" fontId="12" fillId="0" borderId="0" applyNumberFormat="0"/>
    <xf numFmtId="0" fontId="13" fillId="0" borderId="0" applyNumberFormat="0"/>
    <xf numFmtId="178" fontId="2" fillId="0" borderId="0" applyFont="0" applyFill="0" applyBorder="0" applyAlignment="0" applyProtection="0"/>
    <xf numFmtId="4" fontId="14"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6" fontId="2" fillId="0" borderId="0"/>
    <xf numFmtId="0" fontId="15" fillId="0" borderId="0" applyNumberFormat="0" applyAlignment="0">
      <alignment horizontal="left"/>
    </xf>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38" fontId="16" fillId="0" borderId="0"/>
    <xf numFmtId="0" fontId="17" fillId="0" borderId="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3" fontId="18" fillId="0" borderId="0" applyNumberFormat="0"/>
    <xf numFmtId="38" fontId="19" fillId="22" borderId="0" applyNumberFormat="0" applyBorder="0" applyAlignment="0" applyProtection="0"/>
    <xf numFmtId="169" fontId="4" fillId="0" borderId="0" applyNumberFormat="0" applyFill="0" applyBorder="0" applyProtection="0">
      <alignment horizontal="right"/>
    </xf>
    <xf numFmtId="0" fontId="3" fillId="0" borderId="3" applyNumberFormat="0" applyAlignment="0" applyProtection="0">
      <alignment horizontal="left" vertical="center"/>
    </xf>
    <xf numFmtId="0" fontId="3" fillId="0" borderId="4">
      <alignment horizontal="left" vertical="center"/>
    </xf>
    <xf numFmtId="0" fontId="45" fillId="0" borderId="5" applyNumberFormat="0" applyFill="0" applyAlignment="0" applyProtection="0"/>
    <xf numFmtId="0" fontId="45" fillId="0" borderId="5" applyNumberFormat="0" applyFill="0" applyAlignment="0" applyProtection="0"/>
    <xf numFmtId="0" fontId="45" fillId="0" borderId="5" applyNumberFormat="0" applyFill="0" applyAlignment="0" applyProtection="0"/>
    <xf numFmtId="0" fontId="45" fillId="0" borderId="5" applyNumberFormat="0" applyFill="0" applyAlignment="0" applyProtection="0"/>
    <xf numFmtId="0" fontId="45" fillId="0" borderId="5" applyNumberFormat="0" applyFill="0" applyAlignment="0" applyProtection="0"/>
    <xf numFmtId="0" fontId="46" fillId="0" borderId="6" applyNumberFormat="0" applyFill="0" applyAlignment="0" applyProtection="0"/>
    <xf numFmtId="0" fontId="46" fillId="0" borderId="6" applyNumberFormat="0" applyFill="0" applyAlignment="0" applyProtection="0"/>
    <xf numFmtId="0" fontId="46" fillId="0" borderId="6" applyNumberFormat="0" applyFill="0" applyAlignment="0" applyProtection="0"/>
    <xf numFmtId="0" fontId="46" fillId="0" borderId="6" applyNumberFormat="0" applyFill="0" applyAlignment="0" applyProtection="0"/>
    <xf numFmtId="0" fontId="46" fillId="0" borderId="6" applyNumberFormat="0" applyFill="0" applyAlignment="0" applyProtection="0"/>
    <xf numFmtId="0" fontId="47" fillId="0" borderId="7" applyNumberFormat="0" applyFill="0" applyAlignment="0" applyProtection="0"/>
    <xf numFmtId="0" fontId="47" fillId="0" borderId="7" applyNumberFormat="0" applyFill="0" applyAlignment="0" applyProtection="0"/>
    <xf numFmtId="0" fontId="47" fillId="0" borderId="7" applyNumberFormat="0" applyFill="0" applyAlignment="0" applyProtection="0"/>
    <xf numFmtId="0" fontId="47" fillId="0" borderId="7" applyNumberFormat="0" applyFill="0" applyAlignment="0" applyProtection="0"/>
    <xf numFmtId="0" fontId="47" fillId="0" borderId="7" applyNumberFormat="0" applyFill="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20" fillId="0" borderId="8">
      <alignment horizontal="center"/>
    </xf>
    <xf numFmtId="0" fontId="20" fillId="0" borderId="0">
      <alignment horizontal="center"/>
    </xf>
    <xf numFmtId="4" fontId="21" fillId="0" borderId="0" applyFill="0" applyBorder="0" applyProtection="0">
      <alignment horizontal="center"/>
    </xf>
    <xf numFmtId="4" fontId="18" fillId="0" borderId="0" applyFill="0" applyBorder="0" applyProtection="0">
      <alignment horizontal="center"/>
    </xf>
    <xf numFmtId="4" fontId="22" fillId="0" borderId="0" applyFill="0" applyBorder="0" applyProtection="0">
      <alignment horizontal="center"/>
    </xf>
    <xf numFmtId="4" fontId="23" fillId="0" borderId="0" applyFill="0" applyBorder="0" applyProtection="0">
      <alignment horizontal="center"/>
    </xf>
    <xf numFmtId="0" fontId="2"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10" fontId="19" fillId="23" borderId="9" applyNumberFormat="0" applyBorder="0" applyAlignment="0" applyProtection="0"/>
    <xf numFmtId="0" fontId="48" fillId="7" borderId="1" applyNumberFormat="0" applyAlignment="0" applyProtection="0"/>
    <xf numFmtId="0" fontId="48" fillId="7" borderId="1" applyNumberFormat="0" applyAlignment="0" applyProtection="0"/>
    <xf numFmtId="0" fontId="48" fillId="7" borderId="1" applyNumberFormat="0" applyAlignment="0" applyProtection="0"/>
    <xf numFmtId="0" fontId="48" fillId="7" borderId="1" applyNumberFormat="0" applyAlignment="0" applyProtection="0"/>
    <xf numFmtId="0" fontId="48" fillId="7" borderId="1" applyNumberFormat="0" applyAlignment="0" applyProtection="0"/>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176" fontId="2" fillId="0" borderId="10" applyFont="0" applyFill="0" applyBorder="0" applyAlignment="0" applyProtection="0">
      <alignment horizontal="right"/>
    </xf>
    <xf numFmtId="0" fontId="49" fillId="0" borderId="11" applyNumberFormat="0" applyFill="0" applyAlignment="0" applyProtection="0"/>
    <xf numFmtId="0" fontId="49" fillId="0" borderId="11" applyNumberFormat="0" applyFill="0" applyAlignment="0" applyProtection="0"/>
    <xf numFmtId="0" fontId="49" fillId="0" borderId="11" applyNumberFormat="0" applyFill="0" applyAlignment="0" applyProtection="0"/>
    <xf numFmtId="0" fontId="49" fillId="0" borderId="11" applyNumberFormat="0" applyFill="0" applyAlignment="0" applyProtection="0"/>
    <xf numFmtId="0" fontId="49" fillId="0" borderId="11" applyNumberFormat="0" applyFill="0" applyAlignment="0" applyProtection="0"/>
    <xf numFmtId="0" fontId="12" fillId="0" borderId="0"/>
    <xf numFmtId="173" fontId="2" fillId="0" borderId="0" applyFont="0" applyFill="0" applyBorder="0" applyAlignment="0" applyProtection="0"/>
    <xf numFmtId="175" fontId="2" fillId="0" borderId="0" applyFont="0" applyFill="0" applyBorder="0" applyAlignment="0" applyProtection="0"/>
    <xf numFmtId="38" fontId="24" fillId="0" borderId="0" applyFont="0" applyFill="0" applyBorder="0" applyAlignment="0" applyProtection="0"/>
    <xf numFmtId="172" fontId="2" fillId="0" borderId="0" applyFont="0" applyFill="0" applyBorder="0" applyAlignment="0" applyProtection="0"/>
    <xf numFmtId="174"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0" fontId="50" fillId="24" borderId="0" applyNumberFormat="0" applyBorder="0" applyAlignment="0" applyProtection="0"/>
    <xf numFmtId="0" fontId="50" fillId="24" borderId="0" applyNumberFormat="0" applyBorder="0" applyAlignment="0" applyProtection="0"/>
    <xf numFmtId="0" fontId="50" fillId="24" borderId="0" applyNumberFormat="0" applyBorder="0" applyAlignment="0" applyProtection="0"/>
    <xf numFmtId="0" fontId="50" fillId="24" borderId="0" applyNumberFormat="0" applyBorder="0" applyAlignment="0" applyProtection="0"/>
    <xf numFmtId="0" fontId="50" fillId="24" borderId="0" applyNumberFormat="0" applyBorder="0" applyAlignment="0" applyProtection="0"/>
    <xf numFmtId="37" fontId="25" fillId="0" borderId="0"/>
    <xf numFmtId="164"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51" fillId="20" borderId="13" applyNumberFormat="0" applyAlignment="0" applyProtection="0"/>
    <xf numFmtId="0" fontId="51" fillId="20" borderId="13" applyNumberFormat="0" applyAlignment="0" applyProtection="0"/>
    <xf numFmtId="0" fontId="51" fillId="20" borderId="13" applyNumberFormat="0" applyAlignment="0" applyProtection="0"/>
    <xf numFmtId="0" fontId="51" fillId="20" borderId="13" applyNumberFormat="0" applyAlignment="0" applyProtection="0"/>
    <xf numFmtId="0" fontId="51" fillId="20" borderId="13" applyNumberFormat="0" applyAlignment="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66" fontId="2" fillId="0" borderId="0" applyProtection="0"/>
    <xf numFmtId="14" fontId="7" fillId="0" borderId="0">
      <alignment horizontal="center" wrapText="1"/>
      <protection locked="0"/>
    </xf>
    <xf numFmtId="9"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 fontId="27" fillId="0" borderId="0"/>
    <xf numFmtId="9" fontId="27" fillId="0" borderId="0"/>
    <xf numFmtId="1" fontId="2" fillId="0" borderId="0"/>
    <xf numFmtId="0" fontId="24" fillId="0" borderId="0" applyNumberFormat="0" applyFont="0" applyFill="0" applyBorder="0" applyAlignment="0" applyProtection="0">
      <alignment horizontal="left"/>
    </xf>
    <xf numFmtId="15" fontId="24" fillId="0" borderId="0" applyFont="0" applyFill="0" applyBorder="0" applyAlignment="0" applyProtection="0"/>
    <xf numFmtId="4" fontId="24" fillId="0" borderId="0" applyFont="0" applyFill="0" applyBorder="0" applyAlignment="0" applyProtection="0"/>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0" fontId="2" fillId="0" borderId="8">
      <alignment horizontal="center"/>
    </xf>
    <xf numFmtId="3" fontId="24" fillId="0" borderId="0" applyFont="0" applyFill="0" applyBorder="0" applyAlignment="0" applyProtection="0"/>
    <xf numFmtId="0" fontId="24" fillId="26" borderId="0" applyNumberFormat="0" applyFont="0" applyBorder="0" applyAlignment="0" applyProtection="0"/>
    <xf numFmtId="0" fontId="28" fillId="0" borderId="0"/>
    <xf numFmtId="0" fontId="29" fillId="27" borderId="0" applyNumberFormat="0" applyFont="0" applyBorder="0" applyAlignment="0">
      <alignment horizontal="center"/>
    </xf>
    <xf numFmtId="167" fontId="30" fillId="0" borderId="0" applyNumberFormat="0" applyFill="0" applyBorder="0" applyAlignment="0" applyProtection="0">
      <alignment horizontal="left"/>
    </xf>
    <xf numFmtId="0" fontId="31" fillId="0" borderId="0"/>
    <xf numFmtId="9" fontId="32" fillId="0" borderId="0"/>
    <xf numFmtId="0" fontId="2" fillId="0" borderId="0"/>
    <xf numFmtId="0" fontId="29" fillId="1" borderId="4" applyNumberFormat="0" applyFont="0" applyAlignment="0">
      <alignment horizontal="center"/>
    </xf>
    <xf numFmtId="0" fontId="33" fillId="0" borderId="0" applyNumberFormat="0" applyFill="0" applyBorder="0" applyAlignment="0">
      <alignment horizontal="center"/>
    </xf>
    <xf numFmtId="1" fontId="16" fillId="0" borderId="0" applyBorder="0">
      <alignment horizontal="left" vertical="top" wrapText="1"/>
    </xf>
    <xf numFmtId="0" fontId="14" fillId="0" borderId="0"/>
    <xf numFmtId="41" fontId="19" fillId="0" borderId="0"/>
    <xf numFmtId="0" fontId="34" fillId="0" borderId="9">
      <alignment horizontal="center"/>
    </xf>
    <xf numFmtId="0" fontId="34" fillId="0" borderId="0">
      <alignment horizontal="center" vertical="center"/>
    </xf>
    <xf numFmtId="0" fontId="35" fillId="28" borderId="0" applyNumberFormat="0" applyFill="0">
      <alignment horizontal="left" vertical="center"/>
    </xf>
    <xf numFmtId="40" fontId="36" fillId="0" borderId="0" applyBorder="0">
      <alignment horizontal="right"/>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3" fillId="0" borderId="14" applyNumberFormat="0" applyFill="0" applyAlignment="0" applyProtection="0"/>
    <xf numFmtId="0" fontId="53" fillId="0" borderId="14" applyNumberFormat="0" applyFill="0" applyAlignment="0" applyProtection="0"/>
    <xf numFmtId="0" fontId="53" fillId="0" borderId="14" applyNumberFormat="0" applyFill="0" applyAlignment="0" applyProtection="0"/>
    <xf numFmtId="0" fontId="53" fillId="0" borderId="14" applyNumberFormat="0" applyFill="0" applyAlignment="0" applyProtection="0"/>
    <xf numFmtId="0" fontId="53" fillId="0" borderId="14" applyNumberFormat="0" applyFill="0" applyAlignment="0" applyProtection="0"/>
    <xf numFmtId="181" fontId="37" fillId="20" borderId="0" applyNumberFormat="0" applyFill="0" applyBorder="0" applyProtection="0">
      <alignment horizontal="center"/>
    </xf>
    <xf numFmtId="180" fontId="2" fillId="0" borderId="0" applyFont="0" applyFill="0" applyBorder="0" applyAlignment="0" applyProtection="0"/>
    <xf numFmtId="0" fontId="2" fillId="0" borderId="0" applyFon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2" fillId="0" borderId="0"/>
    <xf numFmtId="0" fontId="55" fillId="0" borderId="0"/>
    <xf numFmtId="0" fontId="55" fillId="0" borderId="0"/>
    <xf numFmtId="0" fontId="55" fillId="0" borderId="0"/>
    <xf numFmtId="0" fontId="55" fillId="0" borderId="0"/>
    <xf numFmtId="0" fontId="55" fillId="0" borderId="0"/>
    <xf numFmtId="0" fontId="55" fillId="0" borderId="0"/>
    <xf numFmtId="43" fontId="1" fillId="0" borderId="0" applyFont="0" applyFill="0" applyBorder="0" applyAlignment="0" applyProtection="0"/>
    <xf numFmtId="0" fontId="55" fillId="0" borderId="0"/>
    <xf numFmtId="44" fontId="8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20" borderId="60" applyNumberFormat="0" applyAlignment="0" applyProtection="0"/>
    <xf numFmtId="0" fontId="41" fillId="20" borderId="60" applyNumberFormat="0" applyAlignment="0" applyProtection="0"/>
    <xf numFmtId="0" fontId="41" fillId="20" borderId="60" applyNumberFormat="0" applyAlignment="0" applyProtection="0"/>
    <xf numFmtId="0" fontId="41" fillId="20" borderId="60" applyNumberFormat="0" applyAlignment="0" applyProtection="0"/>
    <xf numFmtId="0" fontId="41" fillId="20" borderId="60" applyNumberFormat="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3" fillId="0" borderId="57">
      <alignment horizontal="left" vertical="center"/>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48" fillId="7" borderId="60" applyNumberFormat="0" applyAlignment="0" applyProtection="0"/>
    <xf numFmtId="0" fontId="48" fillId="7" borderId="60" applyNumberFormat="0" applyAlignment="0" applyProtection="0"/>
    <xf numFmtId="0" fontId="48" fillId="7" borderId="60" applyNumberFormat="0" applyAlignment="0" applyProtection="0"/>
    <xf numFmtId="0" fontId="48" fillId="7" borderId="60" applyNumberFormat="0" applyAlignment="0" applyProtection="0"/>
    <xf numFmtId="0" fontId="48" fillId="7" borderId="60" applyNumberFormat="0" applyAlignment="0" applyProtection="0"/>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1" fillId="25" borderId="61" applyNumberFormat="0" applyFont="0" applyAlignment="0" applyProtection="0"/>
    <xf numFmtId="0" fontId="51" fillId="20" borderId="62" applyNumberFormat="0" applyAlignment="0" applyProtection="0"/>
    <xf numFmtId="0" fontId="51" fillId="20" borderId="62" applyNumberFormat="0" applyAlignment="0" applyProtection="0"/>
    <xf numFmtId="0" fontId="51" fillId="20" borderId="62" applyNumberFormat="0" applyAlignment="0" applyProtection="0"/>
    <xf numFmtId="0" fontId="51" fillId="20" borderId="62" applyNumberFormat="0" applyAlignment="0" applyProtection="0"/>
    <xf numFmtId="0" fontId="51" fillId="20" borderId="62" applyNumberFormat="0" applyAlignment="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29" fillId="1" borderId="57" applyNumberFormat="0" applyFont="0" applyAlignment="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3" fillId="0" borderId="63" applyNumberFormat="0" applyFill="0" applyAlignment="0" applyProtection="0"/>
    <xf numFmtId="0" fontId="53" fillId="0" borderId="63" applyNumberFormat="0" applyFill="0" applyAlignment="0" applyProtection="0"/>
    <xf numFmtId="0" fontId="53" fillId="0" borderId="63" applyNumberFormat="0" applyFill="0" applyAlignment="0" applyProtection="0"/>
    <xf numFmtId="0" fontId="53" fillId="0" borderId="63" applyNumberFormat="0" applyFill="0" applyAlignment="0" applyProtection="0"/>
    <xf numFmtId="0" fontId="53" fillId="0" borderId="6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20" borderId="64" applyNumberFormat="0" applyAlignment="0" applyProtection="0"/>
    <xf numFmtId="0" fontId="41" fillId="20" borderId="64" applyNumberFormat="0" applyAlignment="0" applyProtection="0"/>
    <xf numFmtId="0" fontId="41" fillId="20" borderId="64" applyNumberFormat="0" applyAlignment="0" applyProtection="0"/>
    <xf numFmtId="0" fontId="41" fillId="20" borderId="64" applyNumberFormat="0" applyAlignment="0" applyProtection="0"/>
    <xf numFmtId="0" fontId="41" fillId="20" borderId="64" applyNumberFormat="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6" fontId="1" fillId="0" borderId="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3" fillId="0" borderId="57">
      <alignment horizontal="left" vertical="center"/>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48" fillId="7" borderId="64" applyNumberFormat="0" applyAlignment="0" applyProtection="0"/>
    <xf numFmtId="0" fontId="48" fillId="7" borderId="64" applyNumberFormat="0" applyAlignment="0" applyProtection="0"/>
    <xf numFmtId="0" fontId="48" fillId="7" borderId="64" applyNumberFormat="0" applyAlignment="0" applyProtection="0"/>
    <xf numFmtId="0" fontId="48" fillId="7" borderId="64" applyNumberFormat="0" applyAlignment="0" applyProtection="0"/>
    <xf numFmtId="0" fontId="48" fillId="7" borderId="64" applyNumberFormat="0" applyAlignment="0" applyProtection="0"/>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6" fontId="1" fillId="0" borderId="10" applyFont="0" applyFill="0" applyBorder="0" applyAlignment="0" applyProtection="0">
      <alignment horizontal="right"/>
    </xf>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1" fillId="25" borderId="65" applyNumberFormat="0" applyFont="0" applyAlignment="0" applyProtection="0"/>
    <xf numFmtId="0" fontId="51" fillId="20" borderId="66" applyNumberFormat="0" applyAlignment="0" applyProtection="0"/>
    <xf numFmtId="0" fontId="51" fillId="20" borderId="66" applyNumberFormat="0" applyAlignment="0" applyProtection="0"/>
    <xf numFmtId="0" fontId="51" fillId="20" borderId="66" applyNumberFormat="0" applyAlignment="0" applyProtection="0"/>
    <xf numFmtId="0" fontId="51" fillId="20" borderId="66" applyNumberFormat="0" applyAlignment="0" applyProtection="0"/>
    <xf numFmtId="0" fontId="51" fillId="20" borderId="66" applyNumberFormat="0" applyAlignment="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166" fontId="1" fillId="0" borderId="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1" fillId="0" borderId="8">
      <alignment horizontal="center"/>
    </xf>
    <xf numFmtId="0" fontId="29" fillId="1" borderId="57" applyNumberFormat="0" applyFont="0" applyAlignment="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3" fillId="0" borderId="67" applyNumberFormat="0" applyFill="0" applyAlignment="0" applyProtection="0"/>
    <xf numFmtId="0" fontId="53" fillId="0" borderId="67" applyNumberFormat="0" applyFill="0" applyAlignment="0" applyProtection="0"/>
    <xf numFmtId="0" fontId="53" fillId="0" borderId="67" applyNumberFormat="0" applyFill="0" applyAlignment="0" applyProtection="0"/>
    <xf numFmtId="0" fontId="53" fillId="0" borderId="67" applyNumberFormat="0" applyFill="0" applyAlignment="0" applyProtection="0"/>
    <xf numFmtId="0" fontId="53" fillId="0" borderId="67" applyNumberFormat="0" applyFill="0" applyAlignment="0" applyProtection="0"/>
    <xf numFmtId="0" fontId="1" fillId="0" borderId="0"/>
  </cellStyleXfs>
  <cellXfs count="342">
    <xf numFmtId="0" fontId="0" fillId="0" borderId="0" xfId="0"/>
    <xf numFmtId="0" fontId="58" fillId="0" borderId="0" xfId="0" applyFont="1" applyAlignment="1">
      <alignment vertical="center"/>
    </xf>
    <xf numFmtId="0" fontId="60" fillId="0" borderId="0" xfId="0" applyFont="1" applyAlignment="1">
      <alignment horizontal="center" vertical="center" wrapText="1"/>
    </xf>
    <xf numFmtId="0" fontId="0" fillId="0" borderId="0" xfId="0" applyAlignment="1">
      <alignment vertical="center"/>
    </xf>
    <xf numFmtId="0" fontId="62" fillId="0" borderId="0" xfId="0" applyFont="1" applyAlignment="1">
      <alignment horizontal="center" vertical="center" wrapText="1"/>
    </xf>
    <xf numFmtId="0" fontId="62" fillId="0" borderId="0" xfId="0" applyFont="1" applyAlignment="1">
      <alignment horizontal="center" vertical="center"/>
    </xf>
    <xf numFmtId="0" fontId="60" fillId="0" borderId="0" xfId="0" applyFont="1" applyAlignment="1">
      <alignment vertical="center"/>
    </xf>
    <xf numFmtId="0" fontId="62" fillId="0" borderId="0" xfId="0" applyFont="1" applyAlignment="1">
      <alignment vertical="center"/>
    </xf>
    <xf numFmtId="0" fontId="59" fillId="33" borderId="22" xfId="0" applyFont="1" applyFill="1" applyBorder="1" applyAlignment="1">
      <alignment horizontal="center" vertical="center" wrapText="1"/>
    </xf>
    <xf numFmtId="0" fontId="76" fillId="33" borderId="22" xfId="0" applyFont="1" applyFill="1" applyBorder="1" applyAlignment="1">
      <alignment horizontal="center" vertical="center" wrapText="1"/>
    </xf>
    <xf numFmtId="0" fontId="76" fillId="33" borderId="31" xfId="0" applyFont="1" applyFill="1" applyBorder="1" applyAlignment="1">
      <alignment horizontal="center" vertical="center" wrapText="1"/>
    </xf>
    <xf numFmtId="0" fontId="59" fillId="33" borderId="21" xfId="0" applyFont="1" applyFill="1" applyBorder="1" applyAlignment="1">
      <alignment horizontal="center" vertical="center" wrapText="1"/>
    </xf>
    <xf numFmtId="0" fontId="59" fillId="33" borderId="31" xfId="0" applyFont="1" applyFill="1" applyBorder="1" applyAlignment="1">
      <alignment horizontal="center" vertical="center" wrapText="1"/>
    </xf>
    <xf numFmtId="0" fontId="60" fillId="0" borderId="19" xfId="0" quotePrefix="1" applyFont="1" applyBorder="1" applyAlignment="1">
      <alignment horizontal="left" vertical="center" wrapText="1"/>
    </xf>
    <xf numFmtId="0" fontId="60" fillId="0" borderId="0" xfId="0" applyFont="1" applyAlignment="1">
      <alignment horizontal="center" vertical="center"/>
    </xf>
    <xf numFmtId="0" fontId="70" fillId="0" borderId="16" xfId="0" quotePrefix="1" applyFont="1" applyBorder="1" applyAlignment="1">
      <alignment horizontal="left" vertical="center" wrapText="1"/>
    </xf>
    <xf numFmtId="0" fontId="73" fillId="0" borderId="28" xfId="0" applyFont="1" applyBorder="1" applyAlignment="1">
      <alignment horizontal="center" vertical="center" wrapText="1"/>
    </xf>
    <xf numFmtId="0" fontId="69" fillId="0" borderId="16" xfId="0" applyFont="1" applyBorder="1" applyAlignment="1">
      <alignment horizontal="left" vertical="center" wrapText="1"/>
    </xf>
    <xf numFmtId="0" fontId="72" fillId="0" borderId="16" xfId="0" quotePrefix="1" applyFont="1" applyBorder="1" applyAlignment="1">
      <alignment horizontal="left" vertical="center" wrapText="1"/>
    </xf>
    <xf numFmtId="0" fontId="90" fillId="38" borderId="25" xfId="0" applyFont="1" applyFill="1" applyBorder="1" applyAlignment="1">
      <alignment horizontal="center" vertical="center" wrapText="1"/>
    </xf>
    <xf numFmtId="44" fontId="90" fillId="37" borderId="25" xfId="2326" applyFont="1" applyFill="1" applyBorder="1" applyAlignment="1">
      <alignment horizontal="center" vertical="center" wrapText="1"/>
    </xf>
    <xf numFmtId="0" fontId="91" fillId="37" borderId="29" xfId="0" applyFont="1" applyFill="1" applyBorder="1" applyAlignment="1">
      <alignment horizontal="center" vertical="center" wrapText="1"/>
    </xf>
    <xf numFmtId="0" fontId="91" fillId="37" borderId="34" xfId="0" applyFont="1" applyFill="1" applyBorder="1" applyAlignment="1">
      <alignment horizontal="center" vertical="center" wrapText="1"/>
    </xf>
    <xf numFmtId="0" fontId="0" fillId="0" borderId="16" xfId="0" applyBorder="1" applyAlignment="1">
      <alignment horizontal="left" vertical="center" wrapText="1"/>
    </xf>
    <xf numFmtId="0" fontId="0" fillId="0" borderId="16" xfId="0" applyBorder="1" applyAlignment="1">
      <alignment horizontal="center" vertical="center"/>
    </xf>
    <xf numFmtId="8" fontId="0" fillId="0" borderId="16" xfId="0" applyNumberFormat="1" applyBorder="1" applyAlignment="1">
      <alignment horizontal="center" vertical="center" wrapText="1"/>
    </xf>
    <xf numFmtId="0" fontId="94" fillId="0" borderId="16" xfId="0" applyFont="1" applyBorder="1" applyAlignment="1">
      <alignment horizontal="left" vertical="center" wrapText="1"/>
    </xf>
    <xf numFmtId="0" fontId="91" fillId="37" borderId="16" xfId="0" applyFont="1" applyFill="1" applyBorder="1" applyAlignment="1">
      <alignment horizontal="center" vertical="center" wrapText="1"/>
    </xf>
    <xf numFmtId="0" fontId="88" fillId="0" borderId="0" xfId="0" applyFont="1" applyAlignment="1">
      <alignment horizontal="center"/>
    </xf>
    <xf numFmtId="0" fontId="87" fillId="0" borderId="0" xfId="0" applyFont="1" applyAlignment="1">
      <alignment vertical="center"/>
    </xf>
    <xf numFmtId="8" fontId="0" fillId="0" borderId="15" xfId="0" applyNumberFormat="1" applyBorder="1" applyAlignment="1">
      <alignment horizontal="center" vertical="center"/>
    </xf>
    <xf numFmtId="0" fontId="0" fillId="0" borderId="15" xfId="0" applyBorder="1" applyAlignment="1">
      <alignment horizontal="left" vertical="center"/>
    </xf>
    <xf numFmtId="0" fontId="73" fillId="34" borderId="33" xfId="0" applyFont="1" applyFill="1" applyBorder="1" applyAlignment="1">
      <alignment horizontal="center" vertical="center" wrapText="1"/>
    </xf>
    <xf numFmtId="0" fontId="70" fillId="34" borderId="15" xfId="0" applyFont="1" applyFill="1" applyBorder="1" applyAlignment="1">
      <alignment horizontal="left" vertical="center"/>
    </xf>
    <xf numFmtId="0" fontId="70" fillId="34" borderId="15" xfId="0" quotePrefix="1" applyFont="1" applyFill="1" applyBorder="1" applyAlignment="1">
      <alignment horizontal="left" vertical="center" wrapText="1"/>
    </xf>
    <xf numFmtId="0" fontId="61" fillId="34" borderId="36" xfId="0" quotePrefix="1" applyFont="1" applyFill="1" applyBorder="1" applyAlignment="1">
      <alignment horizontal="left" vertical="center" wrapText="1"/>
    </xf>
    <xf numFmtId="0" fontId="100" fillId="0" borderId="15" xfId="0" applyFont="1" applyBorder="1" applyAlignment="1">
      <alignment horizontal="center" vertical="center" wrapText="1"/>
    </xf>
    <xf numFmtId="0" fontId="100" fillId="0" borderId="16" xfId="0" applyFont="1" applyBorder="1" applyAlignment="1">
      <alignment horizontal="center" vertical="center" wrapText="1"/>
    </xf>
    <xf numFmtId="8" fontId="101" fillId="0" borderId="16" xfId="0" applyNumberFormat="1" applyFont="1" applyBorder="1" applyAlignment="1">
      <alignment horizontal="center" vertical="center" wrapText="1"/>
    </xf>
    <xf numFmtId="0" fontId="101" fillId="0" borderId="16" xfId="0" applyFont="1" applyBorder="1" applyAlignment="1">
      <alignment horizontal="left" vertical="center" wrapText="1"/>
    </xf>
    <xf numFmtId="8" fontId="104" fillId="39" borderId="16" xfId="0" applyNumberFormat="1" applyFont="1" applyFill="1" applyBorder="1" applyAlignment="1">
      <alignment horizontal="center" vertical="center" wrapText="1" readingOrder="1"/>
    </xf>
    <xf numFmtId="0" fontId="105" fillId="39" borderId="16" xfId="0" applyFont="1" applyFill="1" applyBorder="1" applyAlignment="1">
      <alignment horizontal="justify" vertical="center" wrapText="1" readingOrder="1"/>
    </xf>
    <xf numFmtId="0" fontId="71" fillId="34" borderId="16" xfId="0" applyFont="1" applyFill="1" applyBorder="1" applyAlignment="1">
      <alignment horizontal="left" vertical="center" wrapText="1"/>
    </xf>
    <xf numFmtId="0" fontId="61" fillId="34" borderId="16" xfId="0" applyFont="1" applyFill="1" applyBorder="1" applyAlignment="1">
      <alignment horizontal="left" vertical="center" wrapText="1"/>
    </xf>
    <xf numFmtId="0" fontId="84" fillId="34" borderId="16" xfId="0" quotePrefix="1" applyFont="1" applyFill="1" applyBorder="1" applyAlignment="1">
      <alignment horizontal="left" vertical="center" wrapText="1"/>
    </xf>
    <xf numFmtId="0" fontId="90" fillId="38" borderId="32" xfId="0" applyFont="1" applyFill="1" applyBorder="1" applyAlignment="1">
      <alignment horizontal="center" vertical="center" wrapText="1"/>
    </xf>
    <xf numFmtId="44" fontId="90" fillId="37" borderId="15" xfId="2326" applyFont="1" applyFill="1" applyBorder="1" applyAlignment="1">
      <alignment horizontal="center" vertical="center" wrapText="1"/>
    </xf>
    <xf numFmtId="0" fontId="91" fillId="37" borderId="15" xfId="0" applyFont="1" applyFill="1" applyBorder="1" applyAlignment="1">
      <alignment horizontal="center" vertical="center" wrapText="1"/>
    </xf>
    <xf numFmtId="0" fontId="72" fillId="34" borderId="16" xfId="0" applyFont="1" applyFill="1" applyBorder="1" applyAlignment="1">
      <alignment horizontal="left" vertical="center" wrapText="1"/>
    </xf>
    <xf numFmtId="8" fontId="108" fillId="35" borderId="17" xfId="0" applyNumberFormat="1" applyFont="1" applyFill="1" applyBorder="1" applyAlignment="1">
      <alignment horizontal="center" vertical="center" readingOrder="1"/>
    </xf>
    <xf numFmtId="0" fontId="67" fillId="36" borderId="24" xfId="0" applyFont="1" applyFill="1" applyBorder="1" applyAlignment="1">
      <alignment horizontal="left" vertical="center"/>
    </xf>
    <xf numFmtId="0" fontId="67" fillId="36" borderId="8" xfId="0" applyFont="1" applyFill="1" applyBorder="1" applyAlignment="1">
      <alignment horizontal="center" vertical="center"/>
    </xf>
    <xf numFmtId="0" fontId="67" fillId="36" borderId="30" xfId="0" applyFont="1" applyFill="1" applyBorder="1" applyAlignment="1">
      <alignment horizontal="center" vertical="center"/>
    </xf>
    <xf numFmtId="0" fontId="67" fillId="36" borderId="17" xfId="0" applyFont="1" applyFill="1" applyBorder="1" applyAlignment="1">
      <alignment horizontal="left" vertical="center"/>
    </xf>
    <xf numFmtId="0" fontId="67" fillId="36" borderId="3" xfId="0" applyFont="1" applyFill="1" applyBorder="1" applyAlignment="1">
      <alignment horizontal="center" vertical="center"/>
    </xf>
    <xf numFmtId="0" fontId="67" fillId="36" borderId="18" xfId="0" applyFont="1" applyFill="1" applyBorder="1" applyAlignment="1">
      <alignment horizontal="center" vertical="center"/>
    </xf>
    <xf numFmtId="0" fontId="73" fillId="0" borderId="35" xfId="0" applyFont="1" applyBorder="1" applyAlignment="1">
      <alignment horizontal="center" vertical="center" wrapText="1"/>
    </xf>
    <xf numFmtId="0" fontId="72" fillId="0" borderId="35" xfId="0" applyFont="1" applyBorder="1" applyAlignment="1">
      <alignment horizontal="left" vertical="center"/>
    </xf>
    <xf numFmtId="49" fontId="73" fillId="0" borderId="35" xfId="0" quotePrefix="1" applyNumberFormat="1" applyFont="1" applyBorder="1" applyAlignment="1">
      <alignment horizontal="left" vertical="center" wrapText="1"/>
    </xf>
    <xf numFmtId="49" fontId="80" fillId="0" borderId="35" xfId="0" quotePrefix="1" applyNumberFormat="1" applyFont="1" applyBorder="1" applyAlignment="1">
      <alignment horizontal="left" vertical="center" wrapText="1"/>
    </xf>
    <xf numFmtId="0" fontId="100" fillId="0" borderId="0" xfId="0" applyFont="1" applyAlignment="1">
      <alignment vertical="center"/>
    </xf>
    <xf numFmtId="0" fontId="92" fillId="0" borderId="0" xfId="0" applyFont="1" applyAlignment="1">
      <alignment vertical="center"/>
    </xf>
    <xf numFmtId="0" fontId="115" fillId="0" borderId="16" xfId="0" applyFont="1" applyBorder="1" applyAlignment="1">
      <alignment horizontal="center" vertical="center"/>
    </xf>
    <xf numFmtId="0" fontId="116" fillId="0" borderId="16" xfId="0" applyFont="1" applyBorder="1" applyAlignment="1">
      <alignment horizontal="center" vertical="center"/>
    </xf>
    <xf numFmtId="0" fontId="118" fillId="0" borderId="0" xfId="0" applyFont="1" applyAlignment="1">
      <alignment vertical="center"/>
    </xf>
    <xf numFmtId="0" fontId="80" fillId="0" borderId="0" xfId="0" applyFont="1" applyAlignment="1">
      <alignment vertical="center"/>
    </xf>
    <xf numFmtId="0" fontId="110" fillId="34" borderId="16" xfId="0" applyFont="1" applyFill="1" applyBorder="1" applyAlignment="1">
      <alignment horizontal="left" vertical="center" wrapText="1"/>
    </xf>
    <xf numFmtId="8" fontId="92" fillId="0" borderId="9" xfId="0" applyNumberFormat="1" applyFont="1" applyBorder="1" applyAlignment="1">
      <alignment horizontal="center" vertical="center" wrapText="1"/>
    </xf>
    <xf numFmtId="0" fontId="0" fillId="0" borderId="9" xfId="0" applyBorder="1" applyAlignment="1">
      <alignment horizontal="left" vertical="center" wrapText="1"/>
    </xf>
    <xf numFmtId="8" fontId="100" fillId="0" borderId="16" xfId="0" applyNumberFormat="1" applyFont="1" applyBorder="1" applyAlignment="1">
      <alignment horizontal="center" vertical="center"/>
    </xf>
    <xf numFmtId="0" fontId="121" fillId="0" borderId="0" xfId="0" applyFont="1" applyAlignment="1">
      <alignment vertical="center"/>
    </xf>
    <xf numFmtId="0" fontId="92" fillId="0" borderId="9" xfId="0" applyFont="1" applyBorder="1" applyAlignment="1">
      <alignment horizontal="center" vertical="center"/>
    </xf>
    <xf numFmtId="0" fontId="76" fillId="33" borderId="40" xfId="0" applyFont="1" applyFill="1" applyBorder="1" applyAlignment="1">
      <alignment horizontal="center" vertical="center" wrapText="1"/>
    </xf>
    <xf numFmtId="0" fontId="76" fillId="33" borderId="35" xfId="0" applyFont="1" applyFill="1" applyBorder="1" applyAlignment="1">
      <alignment horizontal="center" vertical="center" wrapText="1"/>
    </xf>
    <xf numFmtId="0" fontId="73" fillId="0" borderId="37" xfId="0" quotePrefix="1" applyFont="1" applyBorder="1" applyAlignment="1">
      <alignment horizontal="left" vertical="center" wrapText="1"/>
    </xf>
    <xf numFmtId="49" fontId="60" fillId="29" borderId="43" xfId="0" quotePrefix="1" applyNumberFormat="1" applyFont="1" applyFill="1" applyBorder="1" applyAlignment="1">
      <alignment horizontal="left" vertical="center" wrapText="1"/>
    </xf>
    <xf numFmtId="49" fontId="73" fillId="0" borderId="35" xfId="0" quotePrefix="1" applyNumberFormat="1" applyFont="1" applyBorder="1" applyAlignment="1">
      <alignment vertical="center" wrapText="1"/>
    </xf>
    <xf numFmtId="0" fontId="75" fillId="40" borderId="45" xfId="0" applyFont="1" applyFill="1" applyBorder="1" applyAlignment="1">
      <alignment horizontal="center" wrapText="1" readingOrder="1"/>
    </xf>
    <xf numFmtId="0" fontId="75" fillId="40" borderId="46" xfId="0" applyFont="1" applyFill="1" applyBorder="1" applyAlignment="1">
      <alignment horizontal="center" wrapText="1" readingOrder="1"/>
    </xf>
    <xf numFmtId="0" fontId="75" fillId="40" borderId="33" xfId="0" applyFont="1" applyFill="1" applyBorder="1" applyAlignment="1">
      <alignment horizontal="center" wrapText="1" readingOrder="1"/>
    </xf>
    <xf numFmtId="0" fontId="75" fillId="40" borderId="15" xfId="0" applyFont="1" applyFill="1" applyBorder="1" applyAlignment="1">
      <alignment horizontal="center" wrapText="1" readingOrder="1"/>
    </xf>
    <xf numFmtId="0" fontId="75" fillId="40" borderId="50" xfId="0" applyFont="1" applyFill="1" applyBorder="1" applyAlignment="1">
      <alignment horizontal="center" vertical="center" wrapText="1" readingOrder="1"/>
    </xf>
    <xf numFmtId="182" fontId="75" fillId="35" borderId="33" xfId="0" applyNumberFormat="1" applyFont="1" applyFill="1" applyBorder="1" applyAlignment="1">
      <alignment horizontal="center" wrapText="1" readingOrder="1"/>
    </xf>
    <xf numFmtId="182" fontId="119" fillId="40" borderId="15" xfId="0" applyNumberFormat="1" applyFont="1" applyFill="1" applyBorder="1" applyAlignment="1">
      <alignment horizontal="center" wrapText="1" readingOrder="1"/>
    </xf>
    <xf numFmtId="182" fontId="119" fillId="40" borderId="36" xfId="0" applyNumberFormat="1" applyFont="1" applyFill="1" applyBorder="1" applyAlignment="1">
      <alignment horizontal="center" wrapText="1" readingOrder="1"/>
    </xf>
    <xf numFmtId="182" fontId="119" fillId="40" borderId="50" xfId="0" applyNumberFormat="1" applyFont="1" applyFill="1" applyBorder="1" applyAlignment="1">
      <alignment horizontal="center" wrapText="1" readingOrder="1"/>
    </xf>
    <xf numFmtId="182" fontId="75" fillId="35" borderId="15" xfId="0" applyNumberFormat="1" applyFont="1" applyFill="1" applyBorder="1" applyAlignment="1">
      <alignment horizontal="center" wrapText="1" readingOrder="1"/>
    </xf>
    <xf numFmtId="182" fontId="75" fillId="35" borderId="51" xfId="0" applyNumberFormat="1" applyFont="1" applyFill="1" applyBorder="1" applyAlignment="1">
      <alignment horizontal="center" wrapText="1" readingOrder="1"/>
    </xf>
    <xf numFmtId="182" fontId="119" fillId="40" borderId="10" xfId="0" applyNumberFormat="1" applyFont="1" applyFill="1" applyBorder="1" applyAlignment="1">
      <alignment horizontal="center" wrapText="1" readingOrder="1"/>
    </xf>
    <xf numFmtId="182" fontId="119" fillId="40" borderId="26" xfId="0" applyNumberFormat="1" applyFont="1" applyFill="1" applyBorder="1" applyAlignment="1">
      <alignment horizontal="center" wrapText="1" readingOrder="1"/>
    </xf>
    <xf numFmtId="182" fontId="75" fillId="35" borderId="52" xfId="0" applyNumberFormat="1" applyFont="1" applyFill="1" applyBorder="1" applyAlignment="1">
      <alignment horizontal="center" wrapText="1" readingOrder="1"/>
    </xf>
    <xf numFmtId="182" fontId="119" fillId="40" borderId="53" xfId="0" applyNumberFormat="1" applyFont="1" applyFill="1" applyBorder="1" applyAlignment="1">
      <alignment horizontal="center" wrapText="1" readingOrder="1"/>
    </xf>
    <xf numFmtId="182" fontId="119" fillId="40" borderId="54" xfId="0" applyNumberFormat="1" applyFont="1" applyFill="1" applyBorder="1" applyAlignment="1">
      <alignment horizontal="center" wrapText="1" readingOrder="1"/>
    </xf>
    <xf numFmtId="182" fontId="75" fillId="35" borderId="55" xfId="0" applyNumberFormat="1" applyFont="1" applyFill="1" applyBorder="1" applyAlignment="1">
      <alignment horizontal="center" wrapText="1" readingOrder="1"/>
    </xf>
    <xf numFmtId="0" fontId="69" fillId="0" borderId="37" xfId="0" applyFont="1" applyBorder="1" applyAlignment="1">
      <alignment horizontal="center" vertical="center"/>
    </xf>
    <xf numFmtId="0" fontId="87" fillId="0" borderId="0" xfId="0" applyFont="1"/>
    <xf numFmtId="0" fontId="92" fillId="0" borderId="9" xfId="0" applyFont="1" applyBorder="1" applyAlignment="1">
      <alignment horizontal="center" vertical="center" wrapText="1"/>
    </xf>
    <xf numFmtId="0" fontId="92" fillId="0" borderId="16" xfId="0" applyFont="1" applyBorder="1" applyAlignment="1">
      <alignment horizontal="center" vertical="center" wrapText="1"/>
    </xf>
    <xf numFmtId="0" fontId="97" fillId="0" borderId="16" xfId="0" applyFont="1" applyBorder="1" applyAlignment="1">
      <alignment horizontal="center" vertical="center"/>
    </xf>
    <xf numFmtId="8" fontId="97" fillId="0" borderId="16" xfId="0" applyNumberFormat="1" applyFont="1" applyBorder="1" applyAlignment="1">
      <alignment horizontal="center" vertical="center" wrapText="1"/>
    </xf>
    <xf numFmtId="0" fontId="94" fillId="0" borderId="9" xfId="0" applyFont="1" applyBorder="1" applyAlignment="1">
      <alignment horizontal="center" vertical="center" wrapText="1"/>
    </xf>
    <xf numFmtId="8" fontId="94" fillId="0" borderId="9" xfId="0" applyNumberFormat="1" applyFont="1" applyBorder="1" applyAlignment="1">
      <alignment horizontal="center" vertical="center" wrapText="1"/>
    </xf>
    <xf numFmtId="0" fontId="120" fillId="0" borderId="9" xfId="0" applyFont="1" applyBorder="1" applyAlignment="1">
      <alignment horizontal="justify" vertical="center" wrapText="1" readingOrder="1"/>
    </xf>
    <xf numFmtId="0" fontId="92" fillId="0" borderId="16" xfId="0" applyFont="1" applyBorder="1" applyAlignment="1">
      <alignment horizontal="center" vertical="center"/>
    </xf>
    <xf numFmtId="8" fontId="92" fillId="0" borderId="16" xfId="0" applyNumberFormat="1" applyFont="1" applyBorder="1" applyAlignment="1">
      <alignment horizontal="center" vertical="center" wrapText="1"/>
    </xf>
    <xf numFmtId="0" fontId="59" fillId="33" borderId="9" xfId="0" applyFont="1" applyFill="1" applyBorder="1" applyAlignment="1">
      <alignment horizontal="center" vertical="center" wrapText="1"/>
    </xf>
    <xf numFmtId="0" fontId="72" fillId="0" borderId="9" xfId="0" applyFont="1" applyBorder="1" applyAlignment="1">
      <alignment horizontal="center" vertical="center" wrapText="1"/>
    </xf>
    <xf numFmtId="0" fontId="72" fillId="0" borderId="9" xfId="0" applyFont="1" applyBorder="1" applyAlignment="1">
      <alignment horizontal="left" vertical="center" wrapText="1"/>
    </xf>
    <xf numFmtId="0" fontId="71" fillId="0" borderId="9" xfId="0" applyFont="1" applyBorder="1" applyAlignment="1">
      <alignment horizontal="left" vertical="center" wrapText="1"/>
    </xf>
    <xf numFmtId="0" fontId="132" fillId="0" borderId="9" xfId="0" quotePrefix="1" applyFont="1" applyBorder="1" applyAlignment="1">
      <alignment horizontal="left" vertical="center" wrapText="1"/>
    </xf>
    <xf numFmtId="0" fontId="82" fillId="0" borderId="9" xfId="0" applyFont="1" applyBorder="1" applyAlignment="1">
      <alignment horizontal="left" vertical="center" wrapText="1"/>
    </xf>
    <xf numFmtId="0" fontId="71" fillId="0" borderId="9" xfId="0" quotePrefix="1" applyFont="1" applyBorder="1" applyAlignment="1">
      <alignment horizontal="left" vertical="center" wrapText="1"/>
    </xf>
    <xf numFmtId="49" fontId="136" fillId="0" borderId="9" xfId="0" quotePrefix="1" applyNumberFormat="1" applyFont="1" applyBorder="1" applyAlignment="1">
      <alignment horizontal="left" vertical="center" wrapText="1"/>
    </xf>
    <xf numFmtId="0" fontId="72" fillId="0" borderId="9" xfId="0" applyFont="1" applyBorder="1" applyAlignment="1">
      <alignment vertical="center"/>
    </xf>
    <xf numFmtId="0" fontId="61" fillId="0" borderId="9" xfId="0" quotePrefix="1" applyFont="1" applyBorder="1" applyAlignment="1">
      <alignment wrapText="1"/>
    </xf>
    <xf numFmtId="0" fontId="73" fillId="29" borderId="9" xfId="0" applyFont="1" applyFill="1" applyBorder="1" applyAlignment="1">
      <alignment horizontal="center" vertical="center" wrapText="1"/>
    </xf>
    <xf numFmtId="0" fontId="72" fillId="29" borderId="9" xfId="0" applyFont="1" applyFill="1" applyBorder="1" applyAlignment="1">
      <alignment horizontal="center" vertical="center"/>
    </xf>
    <xf numFmtId="0" fontId="71" fillId="29" borderId="9" xfId="0" quotePrefix="1" applyFont="1" applyFill="1" applyBorder="1" applyAlignment="1">
      <alignment horizontal="left" vertical="top" wrapText="1"/>
    </xf>
    <xf numFmtId="49" fontId="60" fillId="29" borderId="9" xfId="0" quotePrefix="1" applyNumberFormat="1" applyFont="1" applyFill="1" applyBorder="1" applyAlignment="1">
      <alignment horizontal="left" vertical="center" wrapText="1"/>
    </xf>
    <xf numFmtId="9" fontId="134" fillId="41" borderId="9" xfId="0" applyNumberFormat="1" applyFont="1" applyFill="1" applyBorder="1" applyAlignment="1">
      <alignment horizontal="center" vertical="center" wrapText="1"/>
    </xf>
    <xf numFmtId="0" fontId="111" fillId="41" borderId="9" xfId="0" applyFont="1" applyFill="1" applyBorder="1" applyAlignment="1">
      <alignment horizontal="left" vertical="center" wrapText="1"/>
    </xf>
    <xf numFmtId="0" fontId="134" fillId="41" borderId="9" xfId="0" quotePrefix="1" applyFont="1" applyFill="1" applyBorder="1" applyAlignment="1">
      <alignment horizontal="left" vertical="center" wrapText="1"/>
    </xf>
    <xf numFmtId="0" fontId="132" fillId="41" borderId="9" xfId="0" quotePrefix="1" applyFont="1" applyFill="1" applyBorder="1" applyAlignment="1">
      <alignment horizontal="left" vertical="center" wrapText="1"/>
    </xf>
    <xf numFmtId="0" fontId="135" fillId="0" borderId="9" xfId="0" applyFont="1" applyBorder="1" applyAlignment="1">
      <alignment vertical="center"/>
    </xf>
    <xf numFmtId="0" fontId="133" fillId="0" borderId="9" xfId="0" quotePrefix="1" applyFont="1" applyBorder="1" applyAlignment="1">
      <alignment vertical="center" wrapText="1"/>
    </xf>
    <xf numFmtId="0" fontId="132" fillId="0" borderId="9" xfId="0" quotePrefix="1" applyFont="1" applyBorder="1" applyAlignment="1">
      <alignment vertical="center" wrapText="1"/>
    </xf>
    <xf numFmtId="9" fontId="133" fillId="41" borderId="9" xfId="0" applyNumberFormat="1" applyFont="1" applyFill="1" applyBorder="1" applyAlignment="1">
      <alignment horizontal="center" vertical="center" wrapText="1"/>
    </xf>
    <xf numFmtId="0" fontId="135" fillId="41" borderId="9" xfId="0" applyFont="1" applyFill="1" applyBorder="1" applyAlignment="1">
      <alignment vertical="center"/>
    </xf>
    <xf numFmtId="0" fontId="136" fillId="41" borderId="9" xfId="0" quotePrefix="1" applyFont="1" applyFill="1" applyBorder="1" applyAlignment="1">
      <alignment vertical="center" wrapText="1"/>
    </xf>
    <xf numFmtId="0" fontId="58" fillId="29" borderId="0" xfId="0" applyFont="1" applyFill="1" applyAlignment="1">
      <alignment vertical="center"/>
    </xf>
    <xf numFmtId="0" fontId="134" fillId="0" borderId="9" xfId="0" quotePrefix="1" applyFont="1" applyBorder="1" applyAlignment="1">
      <alignment horizontal="left" vertical="center" wrapText="1"/>
    </xf>
    <xf numFmtId="0" fontId="133" fillId="0" borderId="9" xfId="0" applyFont="1" applyBorder="1" applyAlignment="1">
      <alignment horizontal="left" vertical="center" wrapText="1"/>
    </xf>
    <xf numFmtId="0" fontId="134" fillId="0" borderId="9" xfId="0" quotePrefix="1" applyFont="1" applyBorder="1" applyAlignment="1">
      <alignment vertical="center" wrapText="1"/>
    </xf>
    <xf numFmtId="0" fontId="155" fillId="0" borderId="0" xfId="0" applyFont="1"/>
    <xf numFmtId="0" fontId="72" fillId="0" borderId="9" xfId="0" quotePrefix="1" applyFont="1" applyBorder="1" applyAlignment="1">
      <alignment horizontal="center" vertical="center" wrapText="1"/>
    </xf>
    <xf numFmtId="0" fontId="134" fillId="41" borderId="9" xfId="0" quotePrefix="1" applyFont="1" applyFill="1" applyBorder="1" applyAlignment="1">
      <alignment horizontal="center" vertical="center" wrapText="1"/>
    </xf>
    <xf numFmtId="0" fontId="134" fillId="0" borderId="9" xfId="0" quotePrefix="1" applyFont="1" applyBorder="1" applyAlignment="1">
      <alignment horizontal="center" vertical="center" wrapText="1"/>
    </xf>
    <xf numFmtId="0" fontId="73" fillId="29" borderId="9" xfId="0" quotePrefix="1" applyFont="1" applyFill="1" applyBorder="1" applyAlignment="1">
      <alignment horizontal="center" vertical="center" wrapText="1"/>
    </xf>
    <xf numFmtId="0" fontId="92" fillId="0" borderId="0" xfId="0" applyFont="1"/>
    <xf numFmtId="0" fontId="72" fillId="34" borderId="15" xfId="0" applyFont="1" applyFill="1" applyBorder="1" applyAlignment="1">
      <alignment horizontal="left" vertical="center" wrapText="1"/>
    </xf>
    <xf numFmtId="0" fontId="157" fillId="34" borderId="16" xfId="0" applyFont="1" applyFill="1" applyBorder="1" applyAlignment="1">
      <alignment horizontal="left" vertical="center" wrapText="1"/>
    </xf>
    <xf numFmtId="0" fontId="72" fillId="35" borderId="16" xfId="0" applyFont="1" applyFill="1" applyBorder="1" applyAlignment="1">
      <alignment horizontal="center" vertical="center" wrapText="1"/>
    </xf>
    <xf numFmtId="0" fontId="72" fillId="0" borderId="35" xfId="0" applyFont="1" applyBorder="1" applyAlignment="1">
      <alignment horizontal="left" vertical="center" wrapText="1"/>
    </xf>
    <xf numFmtId="0" fontId="72" fillId="0" borderId="35" xfId="0" applyFont="1" applyBorder="1" applyAlignment="1">
      <alignment horizontal="center" vertical="center" wrapText="1"/>
    </xf>
    <xf numFmtId="0" fontId="61" fillId="0" borderId="9" xfId="0" quotePrefix="1" applyFont="1" applyBorder="1" applyAlignment="1">
      <alignment horizontal="left" vertical="center" wrapText="1"/>
    </xf>
    <xf numFmtId="0" fontId="141" fillId="0" borderId="58" xfId="0" applyFont="1" applyBorder="1" applyAlignment="1">
      <alignment horizontal="left" vertical="center" wrapText="1"/>
    </xf>
    <xf numFmtId="0" fontId="97" fillId="35" borderId="16" xfId="0" applyFont="1" applyFill="1" applyBorder="1" applyAlignment="1">
      <alignment horizontal="center" vertical="center"/>
    </xf>
    <xf numFmtId="8" fontId="97" fillId="35" borderId="16" xfId="0" applyNumberFormat="1" applyFont="1" applyFill="1" applyBorder="1" applyAlignment="1">
      <alignment horizontal="center" vertical="center" wrapText="1"/>
    </xf>
    <xf numFmtId="0" fontId="101" fillId="35" borderId="16" xfId="0" applyFont="1" applyFill="1" applyBorder="1" applyAlignment="1">
      <alignment horizontal="left" vertical="center" wrapText="1"/>
    </xf>
    <xf numFmtId="0" fontId="92" fillId="0" borderId="56" xfId="0" applyFont="1" applyBorder="1" applyAlignment="1">
      <alignment horizontal="center" vertical="center" wrapText="1"/>
    </xf>
    <xf numFmtId="0" fontId="92" fillId="35" borderId="9" xfId="0" applyFont="1" applyFill="1" applyBorder="1" applyAlignment="1">
      <alignment horizontal="center" vertical="center" wrapText="1"/>
    </xf>
    <xf numFmtId="8" fontId="92" fillId="35" borderId="9" xfId="0" applyNumberFormat="1" applyFont="1" applyFill="1" applyBorder="1" applyAlignment="1">
      <alignment horizontal="center" vertical="center" wrapText="1"/>
    </xf>
    <xf numFmtId="0" fontId="0" fillId="35" borderId="9" xfId="0" applyFill="1" applyBorder="1" applyAlignment="1">
      <alignment horizontal="left" vertical="center" wrapText="1"/>
    </xf>
    <xf numFmtId="0" fontId="61" fillId="34" borderId="9" xfId="0" applyFont="1" applyFill="1" applyBorder="1" applyAlignment="1">
      <alignment horizontal="left" vertical="center" wrapText="1"/>
    </xf>
    <xf numFmtId="0" fontId="69" fillId="34" borderId="33" xfId="0" applyFont="1" applyFill="1" applyBorder="1" applyAlignment="1">
      <alignment horizontal="center" vertical="center" wrapText="1"/>
    </xf>
    <xf numFmtId="0" fontId="158" fillId="34" borderId="16" xfId="0" applyFont="1" applyFill="1" applyBorder="1" applyAlignment="1">
      <alignment horizontal="left" vertical="center" wrapText="1"/>
    </xf>
    <xf numFmtId="0" fontId="73" fillId="0" borderId="37" xfId="0" applyFont="1" applyBorder="1" applyAlignment="1">
      <alignment horizontal="center" vertical="center" wrapText="1"/>
    </xf>
    <xf numFmtId="0" fontId="100" fillId="0" borderId="0" xfId="0" applyFont="1"/>
    <xf numFmtId="0" fontId="92" fillId="35" borderId="16" xfId="0" applyFont="1" applyFill="1" applyBorder="1" applyAlignment="1">
      <alignment horizontal="center" vertical="center"/>
    </xf>
    <xf numFmtId="8" fontId="92" fillId="35" borderId="16" xfId="0" applyNumberFormat="1" applyFont="1" applyFill="1" applyBorder="1" applyAlignment="1">
      <alignment horizontal="center" vertical="center" wrapText="1"/>
    </xf>
    <xf numFmtId="0" fontId="0" fillId="35" borderId="16" xfId="0" applyFill="1" applyBorder="1" applyAlignment="1">
      <alignment horizontal="left" vertical="center" wrapText="1"/>
    </xf>
    <xf numFmtId="0" fontId="75" fillId="40" borderId="48" xfId="0" applyFont="1" applyFill="1" applyBorder="1" applyAlignment="1">
      <alignment horizontal="center" wrapText="1" readingOrder="1"/>
    </xf>
    <xf numFmtId="0" fontId="161" fillId="0" borderId="0" xfId="0" applyFont="1"/>
    <xf numFmtId="49" fontId="166" fillId="35" borderId="68" xfId="0" quotePrefix="1" applyNumberFormat="1" applyFont="1" applyFill="1" applyBorder="1" applyAlignment="1">
      <alignment horizontal="left" vertical="top" wrapText="1"/>
    </xf>
    <xf numFmtId="0" fontId="82" fillId="0" borderId="69" xfId="0" quotePrefix="1" applyFont="1" applyBorder="1" applyAlignment="1">
      <alignment horizontal="left" vertical="center" wrapText="1"/>
    </xf>
    <xf numFmtId="0" fontId="82" fillId="0" borderId="35" xfId="0" quotePrefix="1" applyFont="1" applyBorder="1" applyAlignment="1">
      <alignment horizontal="left" vertical="center" wrapText="1"/>
    </xf>
    <xf numFmtId="0" fontId="71" fillId="29" borderId="35" xfId="0" quotePrefix="1" applyFont="1" applyFill="1" applyBorder="1" applyAlignment="1">
      <alignment horizontal="left" vertical="center" wrapText="1"/>
    </xf>
    <xf numFmtId="49" fontId="166" fillId="0" borderId="68" xfId="0" quotePrefix="1" applyNumberFormat="1" applyFont="1" applyBorder="1" applyAlignment="1">
      <alignment horizontal="left" vertical="top" wrapText="1"/>
    </xf>
    <xf numFmtId="0" fontId="71" fillId="29" borderId="69" xfId="0" quotePrefix="1" applyFont="1" applyFill="1" applyBorder="1" applyAlignment="1">
      <alignment horizontal="left" vertical="center" wrapText="1"/>
    </xf>
    <xf numFmtId="0" fontId="60" fillId="0" borderId="9" xfId="0" applyFont="1" applyBorder="1" applyAlignment="1">
      <alignment horizontal="left" wrapText="1" readingOrder="1"/>
    </xf>
    <xf numFmtId="182" fontId="60" fillId="0" borderId="9" xfId="0" applyNumberFormat="1" applyFont="1" applyBorder="1" applyAlignment="1">
      <alignment horizontal="center" wrapText="1" readingOrder="1"/>
    </xf>
    <xf numFmtId="0" fontId="61" fillId="0" borderId="68" xfId="0" applyFont="1" applyBorder="1" applyAlignment="1">
      <alignment horizontal="left" wrapText="1" readingOrder="1"/>
    </xf>
    <xf numFmtId="8" fontId="61" fillId="0" borderId="68" xfId="0" applyNumberFormat="1" applyFont="1" applyBorder="1" applyAlignment="1">
      <alignment horizontal="center" wrapText="1" readingOrder="1"/>
    </xf>
    <xf numFmtId="182" fontId="61" fillId="0" borderId="68" xfId="0" applyNumberFormat="1" applyFont="1" applyBorder="1" applyAlignment="1">
      <alignment horizontal="center" wrapText="1" readingOrder="1"/>
    </xf>
    <xf numFmtId="0" fontId="60" fillId="0" borderId="68" xfId="0" applyFont="1" applyBorder="1" applyAlignment="1">
      <alignment horizontal="left" wrapText="1" readingOrder="1"/>
    </xf>
    <xf numFmtId="8" fontId="60" fillId="0" borderId="68" xfId="0" applyNumberFormat="1" applyFont="1" applyBorder="1" applyAlignment="1">
      <alignment horizontal="center" wrapText="1" readingOrder="1"/>
    </xf>
    <xf numFmtId="182" fontId="60" fillId="0" borderId="68" xfId="0" applyNumberFormat="1" applyFont="1" applyBorder="1" applyAlignment="1">
      <alignment horizontal="center" wrapText="1" readingOrder="1"/>
    </xf>
    <xf numFmtId="182" fontId="172" fillId="0" borderId="68" xfId="0" applyNumberFormat="1" applyFont="1" applyBorder="1" applyAlignment="1">
      <alignment horizontal="center" wrapText="1" readingOrder="1"/>
    </xf>
    <xf numFmtId="182" fontId="159" fillId="0" borderId="68" xfId="0" applyNumberFormat="1" applyFont="1" applyBorder="1" applyAlignment="1">
      <alignment horizontal="center" wrapText="1" readingOrder="1"/>
    </xf>
    <xf numFmtId="8" fontId="61" fillId="29" borderId="68" xfId="0" applyNumberFormat="1" applyFont="1" applyFill="1" applyBorder="1" applyAlignment="1">
      <alignment horizontal="center" wrapText="1" readingOrder="1"/>
    </xf>
    <xf numFmtId="0" fontId="65" fillId="0" borderId="9" xfId="0" applyFont="1" applyBorder="1" applyAlignment="1">
      <alignment horizontal="left" wrapText="1" readingOrder="1"/>
    </xf>
    <xf numFmtId="8" fontId="65" fillId="0" borderId="9" xfId="0" applyNumberFormat="1" applyFont="1" applyBorder="1" applyAlignment="1">
      <alignment horizontal="center" wrapText="1" readingOrder="1"/>
    </xf>
    <xf numFmtId="182" fontId="159" fillId="0" borderId="73" xfId="0" applyNumberFormat="1" applyFont="1" applyBorder="1" applyAlignment="1">
      <alignment horizontal="center" wrapText="1" readingOrder="1"/>
    </xf>
    <xf numFmtId="182" fontId="159" fillId="0" borderId="71" xfId="0" applyNumberFormat="1" applyFont="1" applyBorder="1" applyAlignment="1">
      <alignment horizontal="center" wrapText="1" readingOrder="1"/>
    </xf>
    <xf numFmtId="182" fontId="159" fillId="0" borderId="72" xfId="0" applyNumberFormat="1" applyFont="1" applyBorder="1" applyAlignment="1">
      <alignment horizontal="center" wrapText="1" readingOrder="1"/>
    </xf>
    <xf numFmtId="182" fontId="61" fillId="0" borderId="73" xfId="0" applyNumberFormat="1" applyFont="1" applyBorder="1" applyAlignment="1">
      <alignment horizontal="center" wrapText="1" readingOrder="1"/>
    </xf>
    <xf numFmtId="182" fontId="61" fillId="0" borderId="71" xfId="0" applyNumberFormat="1" applyFont="1" applyBorder="1" applyAlignment="1">
      <alignment horizontal="center" wrapText="1" readingOrder="1"/>
    </xf>
    <xf numFmtId="182" fontId="61" fillId="0" borderId="72" xfId="0" applyNumberFormat="1" applyFont="1" applyBorder="1" applyAlignment="1">
      <alignment horizontal="center" wrapText="1" readingOrder="1"/>
    </xf>
    <xf numFmtId="182" fontId="174" fillId="0" borderId="9" xfId="0" applyNumberFormat="1" applyFont="1" applyBorder="1" applyAlignment="1">
      <alignment horizontal="center" wrapText="1" readingOrder="1"/>
    </xf>
    <xf numFmtId="182" fontId="172" fillId="0" borderId="73" xfId="0" applyNumberFormat="1" applyFont="1" applyBorder="1" applyAlignment="1">
      <alignment horizontal="center" wrapText="1" readingOrder="1"/>
    </xf>
    <xf numFmtId="182" fontId="172" fillId="0" borderId="71" xfId="0" applyNumberFormat="1" applyFont="1" applyBorder="1" applyAlignment="1">
      <alignment horizontal="center" wrapText="1" readingOrder="1"/>
    </xf>
    <xf numFmtId="182" fontId="172" fillId="0" borderId="72" xfId="0" applyNumberFormat="1" applyFont="1" applyBorder="1" applyAlignment="1">
      <alignment horizontal="center" wrapText="1" readingOrder="1"/>
    </xf>
    <xf numFmtId="0" fontId="75" fillId="40" borderId="17" xfId="0" applyFont="1" applyFill="1" applyBorder="1" applyAlignment="1">
      <alignment horizontal="center" wrapText="1" readingOrder="1"/>
    </xf>
    <xf numFmtId="0" fontId="75" fillId="40" borderId="3" xfId="0" applyFont="1" applyFill="1" applyBorder="1" applyAlignment="1">
      <alignment horizontal="center" wrapText="1" readingOrder="1"/>
    </xf>
    <xf numFmtId="0" fontId="75" fillId="40" borderId="18" xfId="0" applyFont="1" applyFill="1" applyBorder="1" applyAlignment="1">
      <alignment horizontal="center" wrapText="1" readingOrder="1"/>
    </xf>
    <xf numFmtId="0" fontId="75" fillId="40" borderId="49" xfId="0" applyFont="1" applyFill="1" applyBorder="1" applyAlignment="1">
      <alignment horizontal="center" wrapText="1" readingOrder="1"/>
    </xf>
    <xf numFmtId="0" fontId="75" fillId="40" borderId="46" xfId="0" applyFont="1" applyFill="1" applyBorder="1" applyAlignment="1">
      <alignment horizontal="center" wrapText="1" readingOrder="1"/>
    </xf>
    <xf numFmtId="0" fontId="75" fillId="40" borderId="43" xfId="0" applyFont="1" applyFill="1" applyBorder="1" applyAlignment="1">
      <alignment horizontal="center" wrapText="1" readingOrder="1"/>
    </xf>
    <xf numFmtId="182" fontId="172" fillId="0" borderId="56" xfId="0" applyNumberFormat="1" applyFont="1" applyBorder="1" applyAlignment="1">
      <alignment horizontal="center" wrapText="1" readingOrder="1"/>
    </xf>
    <xf numFmtId="0" fontId="107" fillId="31" borderId="17" xfId="0" applyFont="1" applyFill="1" applyBorder="1" applyAlignment="1">
      <alignment horizontal="center" wrapText="1"/>
    </xf>
    <xf numFmtId="0" fontId="107" fillId="31" borderId="3" xfId="0" applyFont="1" applyFill="1" applyBorder="1" applyAlignment="1">
      <alignment horizontal="center" wrapText="1"/>
    </xf>
    <xf numFmtId="0" fontId="107" fillId="31" borderId="18" xfId="0" applyFont="1" applyFill="1" applyBorder="1" applyAlignment="1">
      <alignment horizontal="center" wrapText="1"/>
    </xf>
    <xf numFmtId="0" fontId="107" fillId="32" borderId="17" xfId="0" applyFont="1" applyFill="1" applyBorder="1" applyAlignment="1">
      <alignment horizontal="center" vertical="center"/>
    </xf>
    <xf numFmtId="0" fontId="107" fillId="32" borderId="3" xfId="0" applyFont="1" applyFill="1" applyBorder="1" applyAlignment="1">
      <alignment horizontal="center" vertical="center"/>
    </xf>
    <xf numFmtId="0" fontId="107" fillId="32" borderId="18" xfId="0" applyFont="1" applyFill="1" applyBorder="1" applyAlignment="1">
      <alignment horizontal="center" vertical="center"/>
    </xf>
    <xf numFmtId="0" fontId="71" fillId="0" borderId="37" xfId="0" quotePrefix="1" applyFont="1" applyBorder="1" applyAlignment="1">
      <alignment horizontal="left" vertical="center" wrapText="1"/>
    </xf>
    <xf numFmtId="0" fontId="71" fillId="0" borderId="38" xfId="0" quotePrefix="1" applyFont="1" applyBorder="1" applyAlignment="1">
      <alignment horizontal="left" vertical="center" wrapText="1"/>
    </xf>
    <xf numFmtId="0" fontId="74" fillId="0" borderId="27" xfId="0" quotePrefix="1" applyFont="1" applyBorder="1" applyAlignment="1">
      <alignment horizontal="left" vertical="center" wrapText="1"/>
    </xf>
    <xf numFmtId="0" fontId="74" fillId="0" borderId="44" xfId="0" quotePrefix="1" applyFont="1" applyBorder="1" applyAlignment="1">
      <alignment horizontal="left" vertical="center" wrapText="1"/>
    </xf>
    <xf numFmtId="0" fontId="69" fillId="35" borderId="56" xfId="0" quotePrefix="1" applyFont="1" applyFill="1" applyBorder="1" applyAlignment="1">
      <alignment horizontal="left" vertical="center" wrapText="1"/>
    </xf>
    <xf numFmtId="0" fontId="69" fillId="35" borderId="57" xfId="0" quotePrefix="1" applyFont="1" applyFill="1" applyBorder="1" applyAlignment="1">
      <alignment horizontal="left" vertical="center" wrapText="1"/>
    </xf>
    <xf numFmtId="0" fontId="69" fillId="35" borderId="58" xfId="0" quotePrefix="1" applyFont="1" applyFill="1" applyBorder="1" applyAlignment="1">
      <alignment horizontal="left" vertical="center" wrapText="1"/>
    </xf>
    <xf numFmtId="0" fontId="73" fillId="0" borderId="37" xfId="0" applyFont="1" applyBorder="1" applyAlignment="1">
      <alignment horizontal="center" vertical="center" wrapText="1"/>
    </xf>
    <xf numFmtId="0" fontId="73" fillId="0" borderId="39" xfId="0" applyFont="1" applyBorder="1" applyAlignment="1">
      <alignment horizontal="center" vertical="center" wrapText="1"/>
    </xf>
    <xf numFmtId="0" fontId="72" fillId="0" borderId="37" xfId="0" applyFont="1" applyBorder="1" applyAlignment="1">
      <alignment horizontal="center" vertical="center" wrapText="1"/>
    </xf>
    <xf numFmtId="0" fontId="72" fillId="0" borderId="39" xfId="0" applyFont="1" applyBorder="1" applyAlignment="1">
      <alignment horizontal="center" vertical="center"/>
    </xf>
    <xf numFmtId="0" fontId="71" fillId="0" borderId="69" xfId="0" quotePrefix="1" applyFont="1" applyBorder="1" applyAlignment="1">
      <alignment horizontal="left" vertical="center" wrapText="1"/>
    </xf>
    <xf numFmtId="0" fontId="100" fillId="0" borderId="10" xfId="0" applyFont="1" applyBorder="1" applyAlignment="1">
      <alignment horizontal="left" vertical="center" wrapText="1"/>
    </xf>
    <xf numFmtId="0" fontId="73" fillId="0" borderId="37" xfId="0" quotePrefix="1" applyFont="1" applyBorder="1" applyAlignment="1">
      <alignment horizontal="center" vertical="center" wrapText="1"/>
    </xf>
    <xf numFmtId="0" fontId="73" fillId="0" borderId="39" xfId="0" quotePrefix="1" applyFont="1" applyBorder="1" applyAlignment="1">
      <alignment horizontal="center" vertical="center" wrapText="1"/>
    </xf>
    <xf numFmtId="49" fontId="73" fillId="0" borderId="37" xfId="0" quotePrefix="1" applyNumberFormat="1" applyFont="1" applyBorder="1" applyAlignment="1">
      <alignment horizontal="center" vertical="center" wrapText="1"/>
    </xf>
    <xf numFmtId="49" fontId="73" fillId="0" borderId="39" xfId="0" quotePrefix="1" applyNumberFormat="1" applyFont="1" applyBorder="1" applyAlignment="1">
      <alignment horizontal="center" vertical="center" wrapText="1"/>
    </xf>
    <xf numFmtId="0" fontId="72" fillId="0" borderId="37" xfId="0" applyFont="1" applyBorder="1" applyAlignment="1">
      <alignment horizontal="center" vertical="center"/>
    </xf>
    <xf numFmtId="0" fontId="71" fillId="0" borderId="10" xfId="0" quotePrefix="1" applyFont="1" applyBorder="1" applyAlignment="1">
      <alignment horizontal="left" vertical="center" wrapText="1"/>
    </xf>
    <xf numFmtId="0" fontId="100" fillId="0" borderId="15" xfId="0" applyFont="1" applyBorder="1" applyAlignment="1">
      <alignment horizontal="left" vertical="center" wrapText="1"/>
    </xf>
    <xf numFmtId="0" fontId="73" fillId="35" borderId="69" xfId="0" applyFont="1" applyFill="1" applyBorder="1" applyAlignment="1">
      <alignment horizontal="center" vertical="center" wrapText="1"/>
    </xf>
    <xf numFmtId="0" fontId="0" fillId="35" borderId="15" xfId="0" applyFill="1" applyBorder="1" applyAlignment="1">
      <alignment horizontal="center" vertical="center" wrapText="1"/>
    </xf>
    <xf numFmtId="0" fontId="73" fillId="0" borderId="37" xfId="0" applyFont="1" applyBorder="1" applyAlignment="1">
      <alignment vertical="center" wrapText="1"/>
    </xf>
    <xf numFmtId="0" fontId="0" fillId="0" borderId="39" xfId="0" applyBorder="1" applyAlignment="1">
      <alignment vertical="center" wrapText="1"/>
    </xf>
    <xf numFmtId="0" fontId="70" fillId="0" borderId="37" xfId="0" quotePrefix="1" applyFont="1" applyBorder="1" applyAlignment="1">
      <alignment horizontal="left" vertical="center" wrapText="1"/>
    </xf>
    <xf numFmtId="0" fontId="70" fillId="0" borderId="39" xfId="0" quotePrefix="1" applyFont="1" applyBorder="1" applyAlignment="1">
      <alignment horizontal="left" vertical="center" wrapText="1"/>
    </xf>
    <xf numFmtId="0" fontId="73" fillId="0" borderId="37" xfId="0" quotePrefix="1" applyFont="1" applyBorder="1" applyAlignment="1">
      <alignment horizontal="left" vertical="center" wrapText="1"/>
    </xf>
    <xf numFmtId="0" fontId="73" fillId="0" borderId="38" xfId="0" quotePrefix="1" applyFont="1" applyBorder="1" applyAlignment="1">
      <alignment horizontal="left" vertical="center" wrapText="1"/>
    </xf>
    <xf numFmtId="0" fontId="73" fillId="0" borderId="39" xfId="0" quotePrefix="1" applyFont="1" applyBorder="1" applyAlignment="1">
      <alignment horizontal="left" vertical="center" wrapText="1"/>
    </xf>
    <xf numFmtId="49" fontId="73" fillId="0" borderId="38" xfId="0" quotePrefix="1" applyNumberFormat="1" applyFont="1" applyBorder="1" applyAlignment="1">
      <alignment horizontal="center" vertical="center" wrapText="1"/>
    </xf>
    <xf numFmtId="49" fontId="60" fillId="35" borderId="69" xfId="0" quotePrefix="1" applyNumberFormat="1" applyFont="1" applyFill="1" applyBorder="1" applyAlignment="1">
      <alignment horizontal="left" vertical="top" wrapText="1"/>
    </xf>
    <xf numFmtId="0" fontId="0" fillId="35" borderId="15" xfId="0" applyFill="1" applyBorder="1" applyAlignment="1">
      <alignment horizontal="left" vertical="top" wrapText="1"/>
    </xf>
    <xf numFmtId="0" fontId="56" fillId="31" borderId="17" xfId="0" applyFont="1" applyFill="1" applyBorder="1" applyAlignment="1">
      <alignment horizontal="center" vertical="center" wrapText="1"/>
    </xf>
    <xf numFmtId="0" fontId="57" fillId="31" borderId="3" xfId="0" applyFont="1" applyFill="1" applyBorder="1" applyAlignment="1">
      <alignment horizontal="center" vertical="center"/>
    </xf>
    <xf numFmtId="0" fontId="57" fillId="31" borderId="18" xfId="0" applyFont="1" applyFill="1" applyBorder="1" applyAlignment="1">
      <alignment horizontal="center" vertical="center"/>
    </xf>
    <xf numFmtId="0" fontId="68" fillId="32" borderId="17" xfId="0" applyFont="1" applyFill="1" applyBorder="1" applyAlignment="1">
      <alignment horizontal="center" vertical="center"/>
    </xf>
    <xf numFmtId="0" fontId="68" fillId="32" borderId="3" xfId="0" applyFont="1" applyFill="1" applyBorder="1" applyAlignment="1">
      <alignment horizontal="center" vertical="center"/>
    </xf>
    <xf numFmtId="0" fontId="68" fillId="32" borderId="18" xfId="0" applyFont="1" applyFill="1" applyBorder="1" applyAlignment="1">
      <alignment horizontal="center" vertical="center"/>
    </xf>
    <xf numFmtId="0" fontId="82" fillId="0" borderId="41" xfId="0" quotePrefix="1" applyFont="1" applyBorder="1" applyAlignment="1">
      <alignment horizontal="left" vertical="center" wrapText="1"/>
    </xf>
    <xf numFmtId="0" fontId="82" fillId="0" borderId="42" xfId="0" quotePrefix="1" applyFont="1" applyBorder="1" applyAlignment="1">
      <alignment horizontal="left" vertical="center" wrapText="1"/>
    </xf>
    <xf numFmtId="49" fontId="70" fillId="0" borderId="35" xfId="0" quotePrefix="1" applyNumberFormat="1" applyFont="1" applyBorder="1" applyAlignment="1">
      <alignment horizontal="left" vertical="center" wrapText="1"/>
    </xf>
    <xf numFmtId="0" fontId="73" fillId="0" borderId="35" xfId="0" quotePrefix="1" applyFont="1" applyBorder="1" applyAlignment="1">
      <alignment horizontal="left" vertical="center" wrapText="1"/>
    </xf>
    <xf numFmtId="0" fontId="73" fillId="0" borderId="35" xfId="0" applyFont="1" applyBorder="1" applyAlignment="1">
      <alignment horizontal="center" vertical="center" wrapText="1"/>
    </xf>
    <xf numFmtId="0" fontId="82" fillId="0" borderId="47" xfId="0" quotePrefix="1" applyFont="1" applyBorder="1" applyAlignment="1">
      <alignment horizontal="left" vertical="center" wrapText="1"/>
    </xf>
    <xf numFmtId="0" fontId="84" fillId="0" borderId="41" xfId="0" applyFont="1" applyBorder="1" applyAlignment="1">
      <alignment horizontal="center" vertical="center" wrapText="1"/>
    </xf>
    <xf numFmtId="0" fontId="84" fillId="0" borderId="47" xfId="0" applyFont="1" applyBorder="1" applyAlignment="1">
      <alignment horizontal="center" vertical="center" wrapText="1"/>
    </xf>
    <xf numFmtId="0" fontId="84" fillId="0" borderId="42" xfId="0" applyFont="1" applyBorder="1" applyAlignment="1">
      <alignment horizontal="center" vertical="center" wrapText="1"/>
    </xf>
    <xf numFmtId="0" fontId="67" fillId="36" borderId="17" xfId="0" applyFont="1" applyFill="1" applyBorder="1" applyAlignment="1">
      <alignment horizontal="center" vertical="center" wrapText="1"/>
    </xf>
    <xf numFmtId="0" fontId="67" fillId="36" borderId="3" xfId="0" applyFont="1" applyFill="1" applyBorder="1" applyAlignment="1">
      <alignment horizontal="center" vertical="center" wrapText="1"/>
    </xf>
    <xf numFmtId="0" fontId="67" fillId="36" borderId="18" xfId="0" applyFont="1" applyFill="1" applyBorder="1" applyAlignment="1">
      <alignment horizontal="center" vertical="center" wrapText="1"/>
    </xf>
    <xf numFmtId="0" fontId="66" fillId="30" borderId="35" xfId="0" applyFont="1" applyFill="1" applyBorder="1" applyAlignment="1">
      <alignment horizontal="center" vertical="center" wrapText="1"/>
    </xf>
    <xf numFmtId="8" fontId="109" fillId="35" borderId="35" xfId="0" applyNumberFormat="1" applyFont="1" applyFill="1" applyBorder="1" applyAlignment="1">
      <alignment horizontal="center" vertical="center" wrapText="1" readingOrder="1"/>
    </xf>
    <xf numFmtId="0" fontId="84" fillId="35" borderId="41" xfId="0" applyFont="1" applyFill="1" applyBorder="1" applyAlignment="1">
      <alignment horizontal="center" vertical="center" wrapText="1"/>
    </xf>
    <xf numFmtId="0" fontId="84" fillId="35" borderId="47" xfId="0" applyFont="1" applyFill="1" applyBorder="1" applyAlignment="1">
      <alignment horizontal="center" vertical="center" wrapText="1"/>
    </xf>
    <xf numFmtId="0" fontId="84" fillId="35" borderId="42" xfId="0" applyFont="1" applyFill="1" applyBorder="1" applyAlignment="1">
      <alignment horizontal="center" vertical="center" wrapText="1"/>
    </xf>
    <xf numFmtId="0" fontId="69" fillId="0" borderId="41" xfId="0" applyFont="1" applyBorder="1" applyAlignment="1">
      <alignment horizontal="left" vertical="center" wrapText="1"/>
    </xf>
    <xf numFmtId="0" fontId="69" fillId="0" borderId="47" xfId="0" applyFont="1" applyBorder="1" applyAlignment="1">
      <alignment horizontal="left" vertical="center" wrapText="1"/>
    </xf>
    <xf numFmtId="0" fontId="69" fillId="0" borderId="42" xfId="0" applyFont="1" applyBorder="1" applyAlignment="1">
      <alignment horizontal="left" vertical="center" wrapText="1"/>
    </xf>
    <xf numFmtId="0" fontId="82" fillId="29" borderId="41" xfId="0" quotePrefix="1" applyFont="1" applyFill="1" applyBorder="1" applyAlignment="1">
      <alignment horizontal="left" vertical="center" wrapText="1"/>
    </xf>
    <xf numFmtId="0" fontId="82" fillId="29" borderId="47" xfId="0" quotePrefix="1" applyFont="1" applyFill="1" applyBorder="1" applyAlignment="1">
      <alignment horizontal="left" vertical="center" wrapText="1"/>
    </xf>
    <xf numFmtId="0" fontId="82" fillId="29" borderId="42" xfId="0" quotePrefix="1" applyFont="1" applyFill="1" applyBorder="1" applyAlignment="1">
      <alignment horizontal="left" vertical="center" wrapText="1"/>
    </xf>
    <xf numFmtId="0" fontId="72" fillId="0" borderId="35" xfId="0" quotePrefix="1" applyFont="1" applyBorder="1" applyAlignment="1">
      <alignment horizontal="center" vertical="center" wrapText="1"/>
    </xf>
    <xf numFmtId="0" fontId="69" fillId="0" borderId="50" xfId="0" applyFont="1" applyBorder="1" applyAlignment="1">
      <alignment horizontal="left" vertical="center" wrapText="1"/>
    </xf>
    <xf numFmtId="0" fontId="69" fillId="0" borderId="56" xfId="0" applyFont="1" applyBorder="1" applyAlignment="1">
      <alignment horizontal="left" vertical="center" wrapText="1"/>
    </xf>
    <xf numFmtId="0" fontId="69" fillId="0" borderId="59" xfId="0" applyFont="1" applyBorder="1" applyAlignment="1">
      <alignment horizontal="left" vertical="center" wrapText="1"/>
    </xf>
    <xf numFmtId="49" fontId="71" fillId="0" borderId="15" xfId="0" quotePrefix="1" applyNumberFormat="1" applyFont="1" applyBorder="1" applyAlignment="1">
      <alignment horizontal="left" vertical="top" wrapText="1"/>
    </xf>
    <xf numFmtId="49" fontId="71" fillId="0" borderId="16" xfId="0" quotePrefix="1" applyNumberFormat="1" applyFont="1" applyBorder="1" applyAlignment="1">
      <alignment horizontal="left" vertical="top" wrapText="1"/>
    </xf>
    <xf numFmtId="49" fontId="74" fillId="0" borderId="16" xfId="0" quotePrefix="1" applyNumberFormat="1" applyFont="1" applyBorder="1" applyAlignment="1">
      <alignment horizontal="left" vertical="top" wrapText="1"/>
    </xf>
    <xf numFmtId="49" fontId="71" fillId="0" borderId="41" xfId="0" quotePrefix="1" applyNumberFormat="1" applyFont="1" applyBorder="1" applyAlignment="1">
      <alignment horizontal="left" vertical="top" wrapText="1"/>
    </xf>
    <xf numFmtId="49" fontId="71" fillId="0" borderId="47" xfId="0" quotePrefix="1" applyNumberFormat="1" applyFont="1" applyBorder="1" applyAlignment="1">
      <alignment horizontal="left" vertical="top" wrapText="1"/>
    </xf>
    <xf numFmtId="49" fontId="74" fillId="0" borderId="42" xfId="0" quotePrefix="1" applyNumberFormat="1" applyFont="1" applyBorder="1" applyAlignment="1">
      <alignment horizontal="left" vertical="top" wrapText="1"/>
    </xf>
    <xf numFmtId="0" fontId="72" fillId="0" borderId="38" xfId="0" applyFont="1" applyBorder="1" applyAlignment="1">
      <alignment horizontal="center" vertical="center" wrapText="1"/>
    </xf>
    <xf numFmtId="0" fontId="72" fillId="0" borderId="39" xfId="0" applyFont="1" applyBorder="1" applyAlignment="1">
      <alignment horizontal="center" vertical="center" wrapText="1"/>
    </xf>
    <xf numFmtId="0" fontId="69" fillId="35" borderId="24" xfId="0" quotePrefix="1" applyFont="1" applyFill="1" applyBorder="1" applyAlignment="1">
      <alignment horizontal="left" vertical="center" wrapText="1"/>
    </xf>
    <xf numFmtId="0" fontId="69" fillId="35" borderId="8" xfId="0" quotePrefix="1" applyFont="1" applyFill="1" applyBorder="1" applyAlignment="1">
      <alignment horizontal="left" vertical="center" wrapText="1"/>
    </xf>
    <xf numFmtId="0" fontId="69" fillId="35" borderId="70" xfId="0" quotePrefix="1" applyFont="1" applyFill="1" applyBorder="1" applyAlignment="1">
      <alignment horizontal="left" vertical="center" wrapText="1"/>
    </xf>
    <xf numFmtId="0" fontId="69" fillId="0" borderId="37" xfId="0" applyFont="1" applyBorder="1" applyAlignment="1">
      <alignment horizontal="center" vertical="center"/>
    </xf>
    <xf numFmtId="0" fontId="69" fillId="0" borderId="39" xfId="0" applyFont="1" applyBorder="1" applyAlignment="1">
      <alignment horizontal="center" vertical="center"/>
    </xf>
    <xf numFmtId="0" fontId="152" fillId="29" borderId="68" xfId="0" quotePrefix="1" applyFont="1" applyFill="1" applyBorder="1" applyAlignment="1">
      <alignment horizontal="left" wrapText="1"/>
    </xf>
    <xf numFmtId="49" fontId="141" fillId="0" borderId="68" xfId="0" quotePrefix="1" applyNumberFormat="1" applyFont="1" applyBorder="1" applyAlignment="1">
      <alignment horizontal="left" vertical="top" wrapText="1"/>
    </xf>
    <xf numFmtId="0" fontId="56" fillId="31" borderId="9" xfId="0" applyFont="1" applyFill="1" applyBorder="1" applyAlignment="1">
      <alignment horizontal="center" vertical="center" wrapText="1"/>
    </xf>
    <xf numFmtId="0" fontId="59" fillId="32" borderId="9" xfId="0" applyFont="1" applyFill="1" applyBorder="1" applyAlignment="1">
      <alignment horizontal="center" vertical="center"/>
    </xf>
    <xf numFmtId="0" fontId="63" fillId="0" borderId="9" xfId="0" applyFont="1" applyBorder="1" applyAlignment="1">
      <alignment horizontal="center" vertical="center" wrapText="1"/>
    </xf>
    <xf numFmtId="0" fontId="135" fillId="29" borderId="9" xfId="0" applyFont="1" applyFill="1" applyBorder="1" applyAlignment="1">
      <alignment horizontal="left" vertical="center"/>
    </xf>
    <xf numFmtId="0" fontId="58" fillId="29" borderId="9" xfId="0" quotePrefix="1" applyFont="1" applyFill="1" applyBorder="1" applyAlignment="1">
      <alignment horizontal="left" vertical="center" wrapText="1"/>
    </xf>
    <xf numFmtId="0" fontId="134" fillId="0" borderId="9" xfId="0" quotePrefix="1" applyFont="1" applyBorder="1" applyAlignment="1">
      <alignment horizontal="center" vertical="center" wrapText="1"/>
    </xf>
    <xf numFmtId="49" fontId="136" fillId="0" borderId="9" xfId="0" quotePrefix="1" applyNumberFormat="1" applyFont="1" applyBorder="1" applyAlignment="1">
      <alignment horizontal="left" vertical="center" wrapText="1"/>
    </xf>
    <xf numFmtId="0" fontId="136" fillId="29" borderId="9" xfId="0" quotePrefix="1" applyFont="1" applyFill="1" applyBorder="1" applyAlignment="1">
      <alignment horizontal="left" vertical="center" wrapText="1"/>
    </xf>
    <xf numFmtId="0" fontId="73" fillId="0" borderId="9" xfId="0" applyFont="1" applyBorder="1" applyAlignment="1">
      <alignment horizontal="center" vertical="center" wrapText="1"/>
    </xf>
    <xf numFmtId="0" fontId="69" fillId="0" borderId="9" xfId="0" applyFont="1" applyBorder="1" applyAlignment="1">
      <alignment horizontal="left" vertical="center"/>
    </xf>
    <xf numFmtId="0" fontId="82" fillId="0" borderId="9" xfId="0" quotePrefix="1" applyFont="1" applyBorder="1" applyAlignment="1">
      <alignment horizontal="left" vertical="center" wrapText="1"/>
    </xf>
    <xf numFmtId="0" fontId="73" fillId="0" borderId="9" xfId="0" quotePrefix="1" applyFont="1" applyBorder="1" applyAlignment="1">
      <alignment horizontal="center" vertical="center" wrapText="1"/>
    </xf>
    <xf numFmtId="49" fontId="80" fillId="0" borderId="9" xfId="0" quotePrefix="1" applyNumberFormat="1" applyFont="1" applyBorder="1" applyAlignment="1">
      <alignment horizontal="left" vertical="center" wrapText="1"/>
    </xf>
    <xf numFmtId="0" fontId="72" fillId="0" borderId="9" xfId="0" applyFont="1" applyBorder="1" applyAlignment="1">
      <alignment horizontal="center" vertical="center" wrapText="1"/>
    </xf>
    <xf numFmtId="0" fontId="69" fillId="0" borderId="9" xfId="0" applyFont="1" applyBorder="1" applyAlignment="1">
      <alignment horizontal="center" vertical="center" wrapText="1"/>
    </xf>
    <xf numFmtId="0" fontId="82" fillId="0" borderId="9" xfId="0" quotePrefix="1" applyFont="1" applyBorder="1" applyAlignment="1">
      <alignment horizontal="left" vertical="top" wrapText="1"/>
    </xf>
    <xf numFmtId="49" fontId="141" fillId="0" borderId="9" xfId="0" quotePrefix="1" applyNumberFormat="1" applyFont="1" applyBorder="1" applyAlignment="1">
      <alignment horizontal="left" vertical="top" wrapText="1"/>
    </xf>
    <xf numFmtId="0" fontId="73" fillId="29" borderId="9" xfId="0" applyFont="1" applyFill="1" applyBorder="1" applyAlignment="1">
      <alignment horizontal="center" vertical="center" wrapText="1"/>
    </xf>
    <xf numFmtId="0" fontId="72" fillId="29" borderId="9" xfId="0" applyFont="1" applyFill="1" applyBorder="1" applyAlignment="1">
      <alignment horizontal="left" vertical="center"/>
    </xf>
    <xf numFmtId="0" fontId="61" fillId="29" borderId="9" xfId="0" quotePrefix="1" applyFont="1" applyFill="1" applyBorder="1" applyAlignment="1">
      <alignment horizontal="left" wrapText="1"/>
    </xf>
    <xf numFmtId="0" fontId="73" fillId="29" borderId="9" xfId="0" quotePrefix="1" applyFont="1" applyFill="1" applyBorder="1" applyAlignment="1">
      <alignment horizontal="center" vertical="center" wrapText="1"/>
    </xf>
    <xf numFmtId="49" fontId="80" fillId="29" borderId="9" xfId="0" quotePrefix="1" applyNumberFormat="1" applyFont="1" applyFill="1" applyBorder="1" applyAlignment="1">
      <alignment horizontal="left" vertical="center" wrapText="1"/>
    </xf>
    <xf numFmtId="0" fontId="84" fillId="35" borderId="9" xfId="0" applyFont="1" applyFill="1" applyBorder="1" applyAlignment="1">
      <alignment horizontal="center" vertical="center" wrapText="1"/>
    </xf>
    <xf numFmtId="0" fontId="74" fillId="0" borderId="9" xfId="0" quotePrefix="1" applyFont="1" applyBorder="1" applyAlignment="1">
      <alignment horizontal="left" vertical="center" wrapText="1"/>
    </xf>
    <xf numFmtId="49" fontId="74" fillId="0" borderId="9" xfId="0" quotePrefix="1" applyNumberFormat="1" applyFont="1" applyBorder="1" applyAlignment="1">
      <alignment horizontal="left" vertical="top" wrapText="1"/>
    </xf>
    <xf numFmtId="0" fontId="0" fillId="0" borderId="9" xfId="0" applyBorder="1" applyAlignment="1">
      <alignment horizontal="center" vertical="center" wrapText="1"/>
    </xf>
    <xf numFmtId="0" fontId="72" fillId="0" borderId="9" xfId="0" applyFont="1" applyBorder="1" applyAlignment="1">
      <alignment horizontal="left" vertical="center"/>
    </xf>
    <xf numFmtId="0" fontId="0" fillId="0" borderId="9" xfId="0" applyBorder="1" applyAlignment="1">
      <alignment horizontal="left" vertical="center"/>
    </xf>
    <xf numFmtId="0" fontId="144" fillId="0" borderId="9" xfId="0" quotePrefix="1" applyFont="1" applyBorder="1" applyAlignment="1">
      <alignment horizontal="left" vertical="center" wrapText="1"/>
    </xf>
    <xf numFmtId="0" fontId="0" fillId="0" borderId="9" xfId="0" applyBorder="1" applyAlignment="1">
      <alignment horizontal="left" vertical="center" wrapText="1"/>
    </xf>
    <xf numFmtId="0" fontId="88" fillId="0" borderId="9" xfId="0" applyFont="1" applyBorder="1" applyAlignment="1">
      <alignment horizontal="center" vertical="center" wrapText="1"/>
    </xf>
    <xf numFmtId="0" fontId="0" fillId="0" borderId="9" xfId="0" applyBorder="1" applyAlignment="1">
      <alignment horizontal="left" vertical="top" wrapText="1"/>
    </xf>
    <xf numFmtId="0" fontId="99" fillId="0" borderId="9" xfId="0" quotePrefix="1" applyFont="1" applyBorder="1" applyAlignment="1">
      <alignment horizontal="left" vertical="top" wrapText="1"/>
    </xf>
    <xf numFmtId="0" fontId="122" fillId="0" borderId="9" xfId="0" quotePrefix="1" applyFont="1" applyBorder="1" applyAlignment="1">
      <alignment horizontal="left" vertical="center" wrapText="1"/>
    </xf>
    <xf numFmtId="49" fontId="71" fillId="0" borderId="9" xfId="0" quotePrefix="1" applyNumberFormat="1" applyFont="1" applyBorder="1" applyAlignment="1">
      <alignment horizontal="left" vertical="top" wrapText="1"/>
    </xf>
    <xf numFmtId="0" fontId="72" fillId="0" borderId="9" xfId="0" applyFont="1" applyBorder="1" applyAlignment="1">
      <alignment horizontal="left" vertical="center" wrapText="1"/>
    </xf>
    <xf numFmtId="49" fontId="141" fillId="0" borderId="9" xfId="0" quotePrefix="1" applyNumberFormat="1" applyFont="1" applyBorder="1" applyAlignment="1">
      <alignment horizontal="left" vertical="center" wrapText="1"/>
    </xf>
    <xf numFmtId="49" fontId="70" fillId="0" borderId="9" xfId="0" quotePrefix="1" applyNumberFormat="1" applyFont="1" applyBorder="1" applyAlignment="1">
      <alignment horizontal="left" vertical="center" wrapText="1"/>
    </xf>
    <xf numFmtId="0" fontId="72" fillId="35" borderId="9" xfId="0" applyFont="1" applyFill="1" applyBorder="1" applyAlignment="1">
      <alignment horizontal="center" vertical="center" wrapText="1"/>
    </xf>
    <xf numFmtId="0" fontId="63" fillId="30" borderId="9" xfId="0" applyFont="1" applyFill="1" applyBorder="1" applyAlignment="1">
      <alignment horizontal="center" vertical="center" wrapText="1"/>
    </xf>
    <xf numFmtId="0" fontId="67" fillId="36" borderId="9" xfId="0" applyFont="1" applyFill="1" applyBorder="1" applyAlignment="1">
      <alignment horizontal="center" vertical="center" wrapText="1"/>
    </xf>
    <xf numFmtId="9" fontId="134" fillId="0" borderId="9" xfId="0" applyNumberFormat="1" applyFont="1" applyBorder="1" applyAlignment="1">
      <alignment horizontal="center" vertical="center" wrapText="1"/>
    </xf>
    <xf numFmtId="0" fontId="136" fillId="0" borderId="9" xfId="0" quotePrefix="1" applyFont="1" applyBorder="1" applyAlignment="1">
      <alignment horizontal="left" vertical="center" wrapText="1"/>
    </xf>
    <xf numFmtId="9" fontId="133" fillId="0" borderId="9" xfId="0" applyNumberFormat="1" applyFont="1" applyBorder="1" applyAlignment="1">
      <alignment horizontal="center" vertical="center" wrapText="1"/>
    </xf>
    <xf numFmtId="0" fontId="134" fillId="0" borderId="9" xfId="0" applyFont="1" applyBorder="1" applyAlignment="1">
      <alignment horizontal="center" vertical="center" wrapText="1"/>
    </xf>
    <xf numFmtId="9" fontId="76" fillId="32" borderId="17" xfId="0" applyNumberFormat="1" applyFont="1" applyFill="1" applyBorder="1" applyAlignment="1">
      <alignment horizontal="center" vertical="center"/>
    </xf>
    <xf numFmtId="9" fontId="76" fillId="32" borderId="3" xfId="0" applyNumberFormat="1" applyFont="1" applyFill="1" applyBorder="1" applyAlignment="1">
      <alignment horizontal="center" vertical="center"/>
    </xf>
    <xf numFmtId="9" fontId="76" fillId="32" borderId="18" xfId="0" applyNumberFormat="1" applyFont="1" applyFill="1" applyBorder="1" applyAlignment="1">
      <alignment horizontal="center" vertical="center"/>
    </xf>
    <xf numFmtId="0" fontId="67" fillId="30" borderId="20" xfId="0" applyFont="1" applyFill="1" applyBorder="1" applyAlignment="1">
      <alignment horizontal="center" vertical="center" wrapText="1"/>
    </xf>
    <xf numFmtId="0" fontId="67" fillId="30" borderId="23" xfId="0" applyFont="1" applyFill="1" applyBorder="1" applyAlignment="1">
      <alignment horizontal="center" vertical="center" wrapText="1"/>
    </xf>
    <xf numFmtId="0" fontId="67" fillId="30" borderId="27" xfId="0" applyFont="1" applyFill="1" applyBorder="1" applyAlignment="1">
      <alignment horizontal="center" vertical="center" wrapText="1"/>
    </xf>
    <xf numFmtId="0" fontId="67" fillId="30" borderId="24" xfId="0" applyFont="1" applyFill="1" applyBorder="1" applyAlignment="1">
      <alignment horizontal="center" vertical="center" wrapText="1"/>
    </xf>
    <xf numFmtId="0" fontId="67" fillId="30" borderId="8" xfId="0" applyFont="1" applyFill="1" applyBorder="1" applyAlignment="1">
      <alignment horizontal="center" vertical="center" wrapText="1"/>
    </xf>
    <xf numFmtId="0" fontId="67" fillId="30" borderId="30" xfId="0" applyFont="1" applyFill="1" applyBorder="1" applyAlignment="1">
      <alignment horizontal="center" vertical="center" wrapText="1"/>
    </xf>
    <xf numFmtId="0" fontId="89" fillId="37" borderId="0" xfId="0" applyFont="1" applyFill="1" applyAlignment="1">
      <alignment horizontal="center" vertical="center" wrapText="1"/>
    </xf>
    <xf numFmtId="0" fontId="95" fillId="37" borderId="0" xfId="0" applyFont="1" applyFill="1" applyAlignment="1">
      <alignment horizontal="center" vertical="center" wrapText="1"/>
    </xf>
    <xf numFmtId="0" fontId="60" fillId="0" borderId="0" xfId="0" applyFont="1" applyAlignment="1">
      <alignment horizontal="center" vertical="center"/>
    </xf>
  </cellXfs>
  <cellStyles count="6475">
    <cellStyle name="%" xfId="2" xr:uid="{00000000-0005-0000-0000-000000000000}"/>
    <cellStyle name="% 2" xfId="3" xr:uid="{00000000-0005-0000-0000-000001000000}"/>
    <cellStyle name="% 2 10" xfId="4" xr:uid="{00000000-0005-0000-0000-000002000000}"/>
    <cellStyle name="% 2 10 2" xfId="4403" xr:uid="{F11073C7-6403-46C2-89DF-EF94D433AF4E}"/>
    <cellStyle name="% 2 10 3" xfId="2329" xr:uid="{B8697AC5-C95F-4ABB-AF37-E685BB6A3F71}"/>
    <cellStyle name="% 2 11" xfId="5" xr:uid="{00000000-0005-0000-0000-000003000000}"/>
    <cellStyle name="% 2 11 2" xfId="4404" xr:uid="{A0F7A2BD-692D-4B50-B531-6A0DC9DD5BFB}"/>
    <cellStyle name="% 2 11 3" xfId="2330" xr:uid="{B11B71D4-FAC4-4137-B365-2168AA348004}"/>
    <cellStyle name="% 2 12" xfId="6" xr:uid="{00000000-0005-0000-0000-000004000000}"/>
    <cellStyle name="% 2 12 2" xfId="4405" xr:uid="{A1D610AD-8D6A-45E1-B72A-E79A982BF58F}"/>
    <cellStyle name="% 2 12 3" xfId="2331" xr:uid="{D4143DF9-49B9-4D69-B070-DCDC05E9D175}"/>
    <cellStyle name="% 2 13" xfId="7" xr:uid="{00000000-0005-0000-0000-000005000000}"/>
    <cellStyle name="% 2 13 2" xfId="4406" xr:uid="{EA2BEC19-5E45-45E7-AB4E-E472380ED081}"/>
    <cellStyle name="% 2 13 3" xfId="2332" xr:uid="{79E4B043-B441-463A-B1C2-17C151C25C43}"/>
    <cellStyle name="% 2 14" xfId="8" xr:uid="{00000000-0005-0000-0000-000006000000}"/>
    <cellStyle name="% 2 14 2" xfId="4407" xr:uid="{FE100924-B4EB-468F-9639-92B052D2E89D}"/>
    <cellStyle name="% 2 14 3" xfId="2333" xr:uid="{33392D43-CF57-4063-B4C5-2568794628ED}"/>
    <cellStyle name="% 2 15" xfId="9" xr:uid="{00000000-0005-0000-0000-000007000000}"/>
    <cellStyle name="% 2 15 2" xfId="4408" xr:uid="{4C1BE489-62DE-4FC6-966F-615A816D8E2E}"/>
    <cellStyle name="% 2 15 3" xfId="2334" xr:uid="{94508250-0D66-420C-8545-3D3EFB6250E4}"/>
    <cellStyle name="% 2 16" xfId="10" xr:uid="{00000000-0005-0000-0000-000008000000}"/>
    <cellStyle name="% 2 16 2" xfId="4409" xr:uid="{BE3E2818-0A34-47F3-A502-BA17BDAF946D}"/>
    <cellStyle name="% 2 16 3" xfId="2335" xr:uid="{37B22D04-BC4F-482E-BF4C-5F25FE388F76}"/>
    <cellStyle name="% 2 17" xfId="11" xr:uid="{00000000-0005-0000-0000-000009000000}"/>
    <cellStyle name="% 2 17 2" xfId="4410" xr:uid="{C3DDDAD1-3191-4D04-9E76-FF4B5FF5C840}"/>
    <cellStyle name="% 2 17 3" xfId="2336" xr:uid="{DB2745F9-AB16-487A-93F7-1C79CDF5D8F0}"/>
    <cellStyle name="% 2 18" xfId="12" xr:uid="{00000000-0005-0000-0000-00000A000000}"/>
    <cellStyle name="% 2 18 2" xfId="4411" xr:uid="{BB361AAE-5DCD-4612-A046-6BFA62E1A64F}"/>
    <cellStyle name="% 2 18 3" xfId="2337" xr:uid="{FB3F13D0-CD1C-43DD-865B-24000EC5AE39}"/>
    <cellStyle name="% 2 19" xfId="13" xr:uid="{00000000-0005-0000-0000-00000B000000}"/>
    <cellStyle name="% 2 19 2" xfId="4412" xr:uid="{969E7C43-0954-4EC8-8854-0B2697090028}"/>
    <cellStyle name="% 2 19 3" xfId="2338" xr:uid="{6B77B7A6-BC55-4445-8473-46429843CDCE}"/>
    <cellStyle name="% 2 2" xfId="14" xr:uid="{00000000-0005-0000-0000-00000C000000}"/>
    <cellStyle name="% 2 2 2" xfId="4413" xr:uid="{6D40A1D5-499C-4002-9996-21FA97A23EAF}"/>
    <cellStyle name="% 2 2 3" xfId="2339" xr:uid="{4934B0E0-ED69-4875-961E-EBF0ECE5259F}"/>
    <cellStyle name="% 2 20" xfId="15" xr:uid="{00000000-0005-0000-0000-00000D000000}"/>
    <cellStyle name="% 2 20 2" xfId="4414" xr:uid="{8F88446D-D1B1-456E-B92C-B2C351886420}"/>
    <cellStyle name="% 2 20 3" xfId="2340" xr:uid="{D5E64624-E995-4788-BE10-D84004F7B425}"/>
    <cellStyle name="% 2 21" xfId="16" xr:uid="{00000000-0005-0000-0000-00000E000000}"/>
    <cellStyle name="% 2 21 2" xfId="4415" xr:uid="{551C819E-9E4D-427E-B4E8-1CC7B8431209}"/>
    <cellStyle name="% 2 21 3" xfId="2341" xr:uid="{7F28FF85-4C3C-4B38-8D1A-FA43BB539696}"/>
    <cellStyle name="% 2 22" xfId="17" xr:uid="{00000000-0005-0000-0000-00000F000000}"/>
    <cellStyle name="% 2 22 2" xfId="4416" xr:uid="{AF7AD5C6-1F0B-40D8-ACB3-7C712B4ACF81}"/>
    <cellStyle name="% 2 22 3" xfId="2342" xr:uid="{6FC7B0E5-F6E8-4D7F-845A-F571626B25EC}"/>
    <cellStyle name="% 2 23" xfId="18" xr:uid="{00000000-0005-0000-0000-000010000000}"/>
    <cellStyle name="% 2 23 2" xfId="4417" xr:uid="{CB21C5EE-D3FF-4AE4-A658-C105F3C49F4C}"/>
    <cellStyle name="% 2 23 3" xfId="2343" xr:uid="{EAC30DAD-83C9-4107-AC38-BA3BD36B7BF3}"/>
    <cellStyle name="% 2 24" xfId="19" xr:uid="{00000000-0005-0000-0000-000011000000}"/>
    <cellStyle name="% 2 24 2" xfId="4418" xr:uid="{A8275B84-2A61-4630-A2EC-D6FDF7518F1F}"/>
    <cellStyle name="% 2 24 3" xfId="2344" xr:uid="{89F13440-CAE5-4D5C-A0A8-87F72676968C}"/>
    <cellStyle name="% 2 25" xfId="20" xr:uid="{00000000-0005-0000-0000-000012000000}"/>
    <cellStyle name="% 2 25 2" xfId="4419" xr:uid="{EAE2F6DD-F52D-417A-B136-D5D186A6D7D6}"/>
    <cellStyle name="% 2 25 3" xfId="2345" xr:uid="{1F55980B-3209-40F8-8B7B-46A3329BDF30}"/>
    <cellStyle name="% 2 26" xfId="21" xr:uid="{00000000-0005-0000-0000-000013000000}"/>
    <cellStyle name="% 2 26 2" xfId="4420" xr:uid="{469F696C-4DCA-477A-A43E-674127B28A84}"/>
    <cellStyle name="% 2 26 3" xfId="2346" xr:uid="{1435D9ED-5E65-4577-8689-ACAE79D51B69}"/>
    <cellStyle name="% 2 27" xfId="22" xr:uid="{00000000-0005-0000-0000-000014000000}"/>
    <cellStyle name="% 2 27 2" xfId="4421" xr:uid="{B9003CA2-99AD-4130-B700-2D64B24AF518}"/>
    <cellStyle name="% 2 27 3" xfId="2347" xr:uid="{8708664B-1975-4D85-8852-E4B5BA4353AE}"/>
    <cellStyle name="% 2 28" xfId="23" xr:uid="{00000000-0005-0000-0000-000015000000}"/>
    <cellStyle name="% 2 28 2" xfId="4422" xr:uid="{4E3F6620-E4A7-48BD-86CA-F85F2AC18E8F}"/>
    <cellStyle name="% 2 28 3" xfId="2348" xr:uid="{FEDF042A-D1F6-4824-92D8-98850C8EE60C}"/>
    <cellStyle name="% 2 29" xfId="24" xr:uid="{00000000-0005-0000-0000-000016000000}"/>
    <cellStyle name="% 2 29 2" xfId="4423" xr:uid="{7F468064-D34B-4A35-AE86-ED6FB6114584}"/>
    <cellStyle name="% 2 29 3" xfId="2349" xr:uid="{8EA37DFA-08CC-4DCA-ABDD-BE12498B25C9}"/>
    <cellStyle name="% 2 3" xfId="25" xr:uid="{00000000-0005-0000-0000-000017000000}"/>
    <cellStyle name="% 2 3 2" xfId="4424" xr:uid="{9B1A2A83-ABF4-477A-94DF-BA2C661ACDD4}"/>
    <cellStyle name="% 2 3 3" xfId="2350" xr:uid="{0691C505-A1E0-4197-BABD-6DA31F4D031D}"/>
    <cellStyle name="% 2 30" xfId="4402" xr:uid="{359C08F8-D02E-4C2A-A5DB-44C82902B72B}"/>
    <cellStyle name="% 2 31" xfId="2328" xr:uid="{89DFE65D-AFFE-4FCF-B530-D6C1D012E654}"/>
    <cellStyle name="% 2 4" xfId="26" xr:uid="{00000000-0005-0000-0000-000018000000}"/>
    <cellStyle name="% 2 4 2" xfId="4425" xr:uid="{848D0A71-AD3D-4ED2-9A4F-E393642B0566}"/>
    <cellStyle name="% 2 4 3" xfId="2351" xr:uid="{107A0D9B-544D-46F6-A089-DD96A6F21749}"/>
    <cellStyle name="% 2 5" xfId="27" xr:uid="{00000000-0005-0000-0000-000019000000}"/>
    <cellStyle name="% 2 5 2" xfId="4426" xr:uid="{D0A0BFF1-2A0E-4F6E-BF40-C4CE655415C2}"/>
    <cellStyle name="% 2 5 3" xfId="2352" xr:uid="{831EB67B-EC8A-4CD4-8D63-7C68143D555D}"/>
    <cellStyle name="% 2 6" xfId="28" xr:uid="{00000000-0005-0000-0000-00001A000000}"/>
    <cellStyle name="% 2 6 2" xfId="4427" xr:uid="{246C8232-9ECB-4CF2-A2BE-C1B2F9CEA34E}"/>
    <cellStyle name="% 2 6 3" xfId="2353" xr:uid="{EC0A112F-566D-4D3F-9917-1D6A790E00EC}"/>
    <cellStyle name="% 2 7" xfId="29" xr:uid="{00000000-0005-0000-0000-00001B000000}"/>
    <cellStyle name="% 2 7 2" xfId="4428" xr:uid="{2265D951-EB3D-4EF6-80A5-ABBB5727E94B}"/>
    <cellStyle name="% 2 7 3" xfId="2354" xr:uid="{58DF682A-F6A9-49EC-92A6-E0F55F878B77}"/>
    <cellStyle name="% 2 8" xfId="30" xr:uid="{00000000-0005-0000-0000-00001C000000}"/>
    <cellStyle name="% 2 8 2" xfId="4429" xr:uid="{47AC36C9-3193-48A4-9750-BE0906910B0D}"/>
    <cellStyle name="% 2 8 3" xfId="2355" xr:uid="{351C03C1-387E-48BF-8BE7-AA8D17A29448}"/>
    <cellStyle name="% 2 9" xfId="31" xr:uid="{00000000-0005-0000-0000-00001D000000}"/>
    <cellStyle name="% 2 9 2" xfId="4430" xr:uid="{287D1FE4-ACF6-4023-9332-7D0A98084B2E}"/>
    <cellStyle name="% 2 9 3" xfId="2356" xr:uid="{4B5F7389-EB93-4427-A586-849431CC27F2}"/>
    <cellStyle name="% 3" xfId="32" xr:uid="{00000000-0005-0000-0000-00001E000000}"/>
    <cellStyle name="% 3 10" xfId="33" xr:uid="{00000000-0005-0000-0000-00001F000000}"/>
    <cellStyle name="% 3 10 2" xfId="4432" xr:uid="{B80ECEC2-ECBA-4371-A75C-5D97A329F1AC}"/>
    <cellStyle name="% 3 10 3" xfId="2358" xr:uid="{BC5C3921-72E8-402F-92D1-F7D8D8E86550}"/>
    <cellStyle name="% 3 11" xfId="34" xr:uid="{00000000-0005-0000-0000-000020000000}"/>
    <cellStyle name="% 3 11 2" xfId="4433" xr:uid="{81DCF5FA-C647-4D88-9E76-E5E88C0E7E67}"/>
    <cellStyle name="% 3 11 3" xfId="2359" xr:uid="{42BDED21-CA0F-4E87-A01F-F02BA6FE5DC8}"/>
    <cellStyle name="% 3 12" xfId="35" xr:uid="{00000000-0005-0000-0000-000021000000}"/>
    <cellStyle name="% 3 12 2" xfId="4434" xr:uid="{397BC871-42FD-4496-A0A6-AB0FE102104C}"/>
    <cellStyle name="% 3 12 3" xfId="2360" xr:uid="{2DEC353A-D369-4CFF-A1F1-D42BCD58C41E}"/>
    <cellStyle name="% 3 13" xfId="36" xr:uid="{00000000-0005-0000-0000-000022000000}"/>
    <cellStyle name="% 3 13 2" xfId="4435" xr:uid="{DCA916D0-69ED-4292-B9C8-8E5C086522A8}"/>
    <cellStyle name="% 3 13 3" xfId="2361" xr:uid="{9FED9E67-2873-4706-9C14-53343C3D7F08}"/>
    <cellStyle name="% 3 14" xfId="37" xr:uid="{00000000-0005-0000-0000-000023000000}"/>
    <cellStyle name="% 3 14 2" xfId="4436" xr:uid="{BA27523D-98F1-4C35-BD64-A7D4EA8AD546}"/>
    <cellStyle name="% 3 14 3" xfId="2362" xr:uid="{7857E9BA-2D2D-4503-A23B-C31519D7F152}"/>
    <cellStyle name="% 3 15" xfId="38" xr:uid="{00000000-0005-0000-0000-000024000000}"/>
    <cellStyle name="% 3 15 2" xfId="4437" xr:uid="{A24B9A1C-7EF9-409D-99A7-4F91FB1761BB}"/>
    <cellStyle name="% 3 15 3" xfId="2363" xr:uid="{57A55D2C-0980-4FF5-9ADD-0FD0FF8B5BA4}"/>
    <cellStyle name="% 3 16" xfId="39" xr:uid="{00000000-0005-0000-0000-000025000000}"/>
    <cellStyle name="% 3 16 2" xfId="4438" xr:uid="{99BCF50D-D45C-4D15-8AB8-AF6A1C5977E2}"/>
    <cellStyle name="% 3 16 3" xfId="2364" xr:uid="{A325011B-7BDF-497F-A8DD-9944C3C82AB8}"/>
    <cellStyle name="% 3 17" xfId="40" xr:uid="{00000000-0005-0000-0000-000026000000}"/>
    <cellStyle name="% 3 17 2" xfId="4439" xr:uid="{0C5DBEFA-A824-4AE6-9EBD-F9B61A8C91F7}"/>
    <cellStyle name="% 3 17 3" xfId="2365" xr:uid="{DE12DF6F-941A-45C1-9194-B9AC04B3BEB0}"/>
    <cellStyle name="% 3 18" xfId="41" xr:uid="{00000000-0005-0000-0000-000027000000}"/>
    <cellStyle name="% 3 18 2" xfId="4440" xr:uid="{6E0D1165-BCC8-4F42-82B2-33D204B09E8C}"/>
    <cellStyle name="% 3 18 3" xfId="2366" xr:uid="{CEFF80CC-BF9A-46D8-8E42-AEAB537196E2}"/>
    <cellStyle name="% 3 19" xfId="42" xr:uid="{00000000-0005-0000-0000-000028000000}"/>
    <cellStyle name="% 3 19 2" xfId="4441" xr:uid="{2FE0899E-05A1-4AD0-9FF7-6D79FBD6E3DA}"/>
    <cellStyle name="% 3 19 3" xfId="2367" xr:uid="{BCC3C331-43F5-4FE8-9FD9-678EE0D29132}"/>
    <cellStyle name="% 3 2" xfId="43" xr:uid="{00000000-0005-0000-0000-000029000000}"/>
    <cellStyle name="% 3 2 2" xfId="4442" xr:uid="{A24D22A1-8A6A-4953-A6DE-F7FF1E9430CC}"/>
    <cellStyle name="% 3 2 3" xfId="2368" xr:uid="{96FCB337-2BEE-43B7-8341-E4A3CB8339B2}"/>
    <cellStyle name="% 3 20" xfId="44" xr:uid="{00000000-0005-0000-0000-00002A000000}"/>
    <cellStyle name="% 3 20 2" xfId="4443" xr:uid="{A400C524-C91D-482D-8925-C5BE81725398}"/>
    <cellStyle name="% 3 20 3" xfId="2369" xr:uid="{65C3281B-33A8-45BC-9057-ADC2375259A5}"/>
    <cellStyle name="% 3 21" xfId="45" xr:uid="{00000000-0005-0000-0000-00002B000000}"/>
    <cellStyle name="% 3 21 2" xfId="4444" xr:uid="{FDF91531-D191-46FF-ADEC-C039DFBBE57B}"/>
    <cellStyle name="% 3 21 3" xfId="2370" xr:uid="{555FACE9-B2EA-4C62-A29F-09D794375329}"/>
    <cellStyle name="% 3 22" xfId="46" xr:uid="{00000000-0005-0000-0000-00002C000000}"/>
    <cellStyle name="% 3 22 2" xfId="4445" xr:uid="{2B4A4329-796F-459F-ACC5-0A6EB728B451}"/>
    <cellStyle name="% 3 22 3" xfId="2371" xr:uid="{148FBD2B-774C-43C1-A3AB-A2EF302A1229}"/>
    <cellStyle name="% 3 23" xfId="47" xr:uid="{00000000-0005-0000-0000-00002D000000}"/>
    <cellStyle name="% 3 23 2" xfId="4446" xr:uid="{1BCFE9B5-8CB3-4E79-A8F2-2A2D80441051}"/>
    <cellStyle name="% 3 23 3" xfId="2372" xr:uid="{F255D148-50BF-4FEA-B626-77CEBD760815}"/>
    <cellStyle name="% 3 24" xfId="48" xr:uid="{00000000-0005-0000-0000-00002E000000}"/>
    <cellStyle name="% 3 24 2" xfId="4447" xr:uid="{40553319-691F-4543-AA5D-34E343D5824B}"/>
    <cellStyle name="% 3 24 3" xfId="2373" xr:uid="{80D614FF-9059-4F30-B72D-BA6E1AA7CF28}"/>
    <cellStyle name="% 3 25" xfId="49" xr:uid="{00000000-0005-0000-0000-00002F000000}"/>
    <cellStyle name="% 3 25 2" xfId="4448" xr:uid="{9BEF98A2-813C-4FFC-A9F7-37517B5E7100}"/>
    <cellStyle name="% 3 25 3" xfId="2374" xr:uid="{1F335A40-7461-4707-A890-E121FE931E8F}"/>
    <cellStyle name="% 3 26" xfId="50" xr:uid="{00000000-0005-0000-0000-000030000000}"/>
    <cellStyle name="% 3 26 2" xfId="4449" xr:uid="{D08CC00F-11C1-4230-88EB-AB67D5421952}"/>
    <cellStyle name="% 3 26 3" xfId="2375" xr:uid="{4D53E6E3-AD8E-4B5D-9E0A-4B87A8A5E259}"/>
    <cellStyle name="% 3 27" xfId="51" xr:uid="{00000000-0005-0000-0000-000031000000}"/>
    <cellStyle name="% 3 27 2" xfId="4450" xr:uid="{7A0E0B2B-2CDA-4971-B48E-5FA85191712C}"/>
    <cellStyle name="% 3 27 3" xfId="2376" xr:uid="{EAC87BC9-A3DE-462D-89FF-F98326E5140C}"/>
    <cellStyle name="% 3 28" xfId="52" xr:uid="{00000000-0005-0000-0000-000032000000}"/>
    <cellStyle name="% 3 28 2" xfId="4451" xr:uid="{23D8067F-250E-40AB-B584-6F05C49654AC}"/>
    <cellStyle name="% 3 28 3" xfId="2377" xr:uid="{68A611B0-6706-4B49-9C35-546A23375A8F}"/>
    <cellStyle name="% 3 29" xfId="53" xr:uid="{00000000-0005-0000-0000-000033000000}"/>
    <cellStyle name="% 3 29 2" xfId="4452" xr:uid="{52E4B325-DE85-4CDE-8905-F3A64B49850B}"/>
    <cellStyle name="% 3 29 3" xfId="2378" xr:uid="{2625FD8C-6BF6-43AA-B88B-0909C72247C2}"/>
    <cellStyle name="% 3 3" xfId="54" xr:uid="{00000000-0005-0000-0000-000034000000}"/>
    <cellStyle name="% 3 3 2" xfId="4453" xr:uid="{07143BEB-ECFC-4E8A-B63E-790DA2412DA4}"/>
    <cellStyle name="% 3 3 3" xfId="2379" xr:uid="{0E541A9F-0829-40B8-BABE-505A88DF2E93}"/>
    <cellStyle name="% 3 30" xfId="4431" xr:uid="{3A9E758E-7D76-4128-82C3-5F79363C4553}"/>
    <cellStyle name="% 3 31" xfId="2357" xr:uid="{4B6C224E-895F-4465-BFBE-3408F92B9C0F}"/>
    <cellStyle name="% 3 4" xfId="55" xr:uid="{00000000-0005-0000-0000-000035000000}"/>
    <cellStyle name="% 3 4 2" xfId="4454" xr:uid="{340333A6-63A2-4C7E-84BA-ECA3AB87C8E8}"/>
    <cellStyle name="% 3 4 3" xfId="2380" xr:uid="{4720D0CF-B8BB-42C1-A4A3-EF1813FB1F68}"/>
    <cellStyle name="% 3 5" xfId="56" xr:uid="{00000000-0005-0000-0000-000036000000}"/>
    <cellStyle name="% 3 5 2" xfId="4455" xr:uid="{65BE38A1-D18F-454C-9439-9F8948A23E21}"/>
    <cellStyle name="% 3 5 3" xfId="2381" xr:uid="{52FE7D96-7945-490B-B7DA-63D2369F35A6}"/>
    <cellStyle name="% 3 6" xfId="57" xr:uid="{00000000-0005-0000-0000-000037000000}"/>
    <cellStyle name="% 3 6 2" xfId="4456" xr:uid="{AD1F072F-F1AF-42BC-ABE2-7E87BDF50309}"/>
    <cellStyle name="% 3 6 3" xfId="2382" xr:uid="{498A0E56-C595-48D0-BB59-13225DBCD812}"/>
    <cellStyle name="% 3 7" xfId="58" xr:uid="{00000000-0005-0000-0000-000038000000}"/>
    <cellStyle name="% 3 7 2" xfId="4457" xr:uid="{4B2D08CF-86FD-48DB-8C95-3D0E0BDCCF8D}"/>
    <cellStyle name="% 3 7 3" xfId="2383" xr:uid="{15DE05CE-2F4E-49A9-AD85-738DFFEA64DB}"/>
    <cellStyle name="% 3 8" xfId="59" xr:uid="{00000000-0005-0000-0000-000039000000}"/>
    <cellStyle name="% 3 8 2" xfId="4458" xr:uid="{4EA911A7-35B5-4922-8A42-A798EFB1B85D}"/>
    <cellStyle name="% 3 8 3" xfId="2384" xr:uid="{1EF09901-5966-4DE3-84D9-10D56E362488}"/>
    <cellStyle name="% 3 9" xfId="60" xr:uid="{00000000-0005-0000-0000-00003A000000}"/>
    <cellStyle name="% 3 9 2" xfId="4459" xr:uid="{29B658CC-0B43-4A11-A22E-9C7B3890C21C}"/>
    <cellStyle name="% 3 9 3" xfId="2385" xr:uid="{6DD4B165-F92D-4DCB-84AF-95D01A27EE90}"/>
    <cellStyle name="% 4" xfId="61" xr:uid="{00000000-0005-0000-0000-00003B000000}"/>
    <cellStyle name="% 4 10" xfId="62" xr:uid="{00000000-0005-0000-0000-00003C000000}"/>
    <cellStyle name="% 4 10 2" xfId="4461" xr:uid="{934E31F8-1F93-4654-8D10-42CCC9235AC9}"/>
    <cellStyle name="% 4 10 3" xfId="2387" xr:uid="{05043023-7388-4E6C-84AD-A26A1EDA23A4}"/>
    <cellStyle name="% 4 11" xfId="63" xr:uid="{00000000-0005-0000-0000-00003D000000}"/>
    <cellStyle name="% 4 11 2" xfId="4462" xr:uid="{889E22BE-EE98-4711-A257-9A856889DFBB}"/>
    <cellStyle name="% 4 11 3" xfId="2388" xr:uid="{5FF58F57-7A33-495F-97B3-ADB656E83815}"/>
    <cellStyle name="% 4 12" xfId="64" xr:uid="{00000000-0005-0000-0000-00003E000000}"/>
    <cellStyle name="% 4 12 2" xfId="4463" xr:uid="{6741D5AC-5A75-42D2-89F2-462E5EEB0260}"/>
    <cellStyle name="% 4 12 3" xfId="2389" xr:uid="{2BAE59F2-3C70-4FA0-A2A2-987A961AE548}"/>
    <cellStyle name="% 4 13" xfId="65" xr:uid="{00000000-0005-0000-0000-00003F000000}"/>
    <cellStyle name="% 4 13 2" xfId="4464" xr:uid="{D22C9067-0B93-4090-9954-770B34ED977C}"/>
    <cellStyle name="% 4 13 3" xfId="2390" xr:uid="{89859C2A-9E32-4047-8445-FFD6F5991A4C}"/>
    <cellStyle name="% 4 14" xfId="66" xr:uid="{00000000-0005-0000-0000-000040000000}"/>
    <cellStyle name="% 4 14 2" xfId="4465" xr:uid="{D3AE970F-63AC-43C3-AE5A-9AFE4B0E64E8}"/>
    <cellStyle name="% 4 14 3" xfId="2391" xr:uid="{89F9B022-424F-49BC-BFB3-E469A80D451B}"/>
    <cellStyle name="% 4 15" xfId="67" xr:uid="{00000000-0005-0000-0000-000041000000}"/>
    <cellStyle name="% 4 15 2" xfId="4466" xr:uid="{9F4B6EFD-351E-426B-BBF1-0BDCF139D04A}"/>
    <cellStyle name="% 4 15 3" xfId="2392" xr:uid="{6AE012E0-0C00-426C-B7CB-DC253FC33963}"/>
    <cellStyle name="% 4 16" xfId="68" xr:uid="{00000000-0005-0000-0000-000042000000}"/>
    <cellStyle name="% 4 16 2" xfId="4467" xr:uid="{3D277D5A-DC0F-4313-8317-4868BD3A0306}"/>
    <cellStyle name="% 4 16 3" xfId="2393" xr:uid="{DA20CDDC-E8F2-4F95-8F34-9C577D30A47E}"/>
    <cellStyle name="% 4 17" xfId="69" xr:uid="{00000000-0005-0000-0000-000043000000}"/>
    <cellStyle name="% 4 17 2" xfId="4468" xr:uid="{53226DFD-29ED-4660-97E3-BDA7A637C883}"/>
    <cellStyle name="% 4 17 3" xfId="2394" xr:uid="{D56B2B31-D861-468D-A79C-76C3007EF137}"/>
    <cellStyle name="% 4 18" xfId="70" xr:uid="{00000000-0005-0000-0000-000044000000}"/>
    <cellStyle name="% 4 18 2" xfId="4469" xr:uid="{A107BE57-083D-452F-858F-45C9F0B68738}"/>
    <cellStyle name="% 4 18 3" xfId="2395" xr:uid="{0576C249-30B6-4BA0-9AC7-C6690E6D5B40}"/>
    <cellStyle name="% 4 19" xfId="71" xr:uid="{00000000-0005-0000-0000-000045000000}"/>
    <cellStyle name="% 4 19 2" xfId="4470" xr:uid="{D6AB2842-5660-42CC-96D2-8B440549DEE0}"/>
    <cellStyle name="% 4 19 3" xfId="2396" xr:uid="{E3DF6A27-E2E9-4645-BF8D-8A53A79DDA8F}"/>
    <cellStyle name="% 4 2" xfId="72" xr:uid="{00000000-0005-0000-0000-000046000000}"/>
    <cellStyle name="% 4 2 2" xfId="4471" xr:uid="{8B19A693-9D5C-430C-A0B4-E81D0C1B06E7}"/>
    <cellStyle name="% 4 2 3" xfId="2397" xr:uid="{182EE332-B160-4AF0-B2A0-E5F721BD7D6C}"/>
    <cellStyle name="% 4 20" xfId="73" xr:uid="{00000000-0005-0000-0000-000047000000}"/>
    <cellStyle name="% 4 20 2" xfId="4472" xr:uid="{76C6AC4E-F468-4D28-A328-DA93E8A26D47}"/>
    <cellStyle name="% 4 20 3" xfId="2398" xr:uid="{BBDA0971-DE73-4E56-83BB-F127DA4991E2}"/>
    <cellStyle name="% 4 21" xfId="74" xr:uid="{00000000-0005-0000-0000-000048000000}"/>
    <cellStyle name="% 4 21 2" xfId="4473" xr:uid="{2027C24E-7C0E-4706-A1D7-A427F1973021}"/>
    <cellStyle name="% 4 21 3" xfId="2399" xr:uid="{381B3D83-8714-4904-9CB9-B0444B95EF52}"/>
    <cellStyle name="% 4 22" xfId="75" xr:uid="{00000000-0005-0000-0000-000049000000}"/>
    <cellStyle name="% 4 22 2" xfId="4474" xr:uid="{2AF07D63-BB12-4D28-9024-8A87460A1E68}"/>
    <cellStyle name="% 4 22 3" xfId="2400" xr:uid="{C2B5DD3B-204F-4C2F-945D-88ADCC86A7E1}"/>
    <cellStyle name="% 4 23" xfId="76" xr:uid="{00000000-0005-0000-0000-00004A000000}"/>
    <cellStyle name="% 4 23 2" xfId="4475" xr:uid="{4BFA1CA6-E937-4E4D-9753-953F0EC423C3}"/>
    <cellStyle name="% 4 23 3" xfId="2401" xr:uid="{88243352-B25A-4690-B83A-41E01EB68D45}"/>
    <cellStyle name="% 4 24" xfId="77" xr:uid="{00000000-0005-0000-0000-00004B000000}"/>
    <cellStyle name="% 4 24 2" xfId="4476" xr:uid="{15BCED31-EA0E-47E6-9483-2F30D3FEB5ED}"/>
    <cellStyle name="% 4 24 3" xfId="2402" xr:uid="{F85A42C5-32B8-4712-8094-29F77CBED0EB}"/>
    <cellStyle name="% 4 25" xfId="78" xr:uid="{00000000-0005-0000-0000-00004C000000}"/>
    <cellStyle name="% 4 25 2" xfId="4477" xr:uid="{48B81823-9D65-4A2E-A807-E6EA83C6A4C6}"/>
    <cellStyle name="% 4 25 3" xfId="2403" xr:uid="{7EE8BAA7-B645-4F44-884F-16D7EE09DC05}"/>
    <cellStyle name="% 4 26" xfId="79" xr:uid="{00000000-0005-0000-0000-00004D000000}"/>
    <cellStyle name="% 4 26 2" xfId="4478" xr:uid="{FF5949B3-4E95-40BC-9255-86BAB5E24D39}"/>
    <cellStyle name="% 4 26 3" xfId="2404" xr:uid="{DAA99BBC-3413-480B-B94D-32A0BA26C242}"/>
    <cellStyle name="% 4 27" xfId="80" xr:uid="{00000000-0005-0000-0000-00004E000000}"/>
    <cellStyle name="% 4 27 2" xfId="4479" xr:uid="{701D405D-EE0A-4476-B94C-3CC8334BB24D}"/>
    <cellStyle name="% 4 27 3" xfId="2405" xr:uid="{44EFA915-FFA4-45A2-A4D9-EB46B97CDB5B}"/>
    <cellStyle name="% 4 28" xfId="81" xr:uid="{00000000-0005-0000-0000-00004F000000}"/>
    <cellStyle name="% 4 28 2" xfId="4480" xr:uid="{B49626B7-7484-4DC9-817D-1409EA75C283}"/>
    <cellStyle name="% 4 28 3" xfId="2406" xr:uid="{FFDB0C6E-201B-40BC-B452-2155A3EA11E0}"/>
    <cellStyle name="% 4 29" xfId="82" xr:uid="{00000000-0005-0000-0000-000050000000}"/>
    <cellStyle name="% 4 29 2" xfId="4481" xr:uid="{8C0B4B95-89BB-4AA9-9A15-88295F347EEB}"/>
    <cellStyle name="% 4 29 3" xfId="2407" xr:uid="{B096F1BA-592C-439C-B214-B5D595C58ED3}"/>
    <cellStyle name="% 4 3" xfId="83" xr:uid="{00000000-0005-0000-0000-000051000000}"/>
    <cellStyle name="% 4 3 2" xfId="4482" xr:uid="{B86E1805-8C45-4EDF-B270-AA10003CE7BE}"/>
    <cellStyle name="% 4 3 3" xfId="2408" xr:uid="{872BED04-4792-41CB-9404-DF55CAC67DF3}"/>
    <cellStyle name="% 4 30" xfId="4460" xr:uid="{79EC28BF-A365-4409-8D92-2772B56F1AC5}"/>
    <cellStyle name="% 4 31" xfId="2386" xr:uid="{594DDE6F-F4E2-41D3-B19C-B2FE8B7F3A59}"/>
    <cellStyle name="% 4 4" xfId="84" xr:uid="{00000000-0005-0000-0000-000052000000}"/>
    <cellStyle name="% 4 4 2" xfId="4483" xr:uid="{35DA5664-7516-4165-B222-47985A918809}"/>
    <cellStyle name="% 4 4 3" xfId="2409" xr:uid="{31A8BE83-D965-44D0-A988-47248C0AD1AB}"/>
    <cellStyle name="% 4 5" xfId="85" xr:uid="{00000000-0005-0000-0000-000053000000}"/>
    <cellStyle name="% 4 5 2" xfId="4484" xr:uid="{8B5D9C9A-012B-4AD4-8C63-B7685AD20FE8}"/>
    <cellStyle name="% 4 5 3" xfId="2410" xr:uid="{D5FD1427-1810-4D38-BC79-BC2EB350FD2F}"/>
    <cellStyle name="% 4 6" xfId="86" xr:uid="{00000000-0005-0000-0000-000054000000}"/>
    <cellStyle name="% 4 6 2" xfId="4485" xr:uid="{274CB17E-3A5E-41C3-BD1D-9F01D8FFC1F9}"/>
    <cellStyle name="% 4 6 3" xfId="2411" xr:uid="{7C02DDB4-27A0-4C00-9DAF-8126531B0E55}"/>
    <cellStyle name="% 4 7" xfId="87" xr:uid="{00000000-0005-0000-0000-000055000000}"/>
    <cellStyle name="% 4 7 2" xfId="4486" xr:uid="{A6CC42E6-8098-41A5-A6F9-6675958EE5DE}"/>
    <cellStyle name="% 4 7 3" xfId="2412" xr:uid="{BE96BE26-55E2-47B1-A96D-E8B53B01BA42}"/>
    <cellStyle name="% 4 8" xfId="88" xr:uid="{00000000-0005-0000-0000-000056000000}"/>
    <cellStyle name="% 4 8 2" xfId="4487" xr:uid="{8E08B4CC-D00F-478F-AE78-FF3647B6AD2B}"/>
    <cellStyle name="% 4 8 3" xfId="2413" xr:uid="{8FDA3234-79E7-46A3-9963-A299429457E4}"/>
    <cellStyle name="% 4 9" xfId="89" xr:uid="{00000000-0005-0000-0000-000057000000}"/>
    <cellStyle name="% 4 9 2" xfId="4488" xr:uid="{12280E6B-44FC-4669-B46A-8ED35587E6C2}"/>
    <cellStyle name="% 4 9 3" xfId="2414" xr:uid="{5DF57B6B-495E-4312-ACC5-698A230004EE}"/>
    <cellStyle name="% 5" xfId="90" xr:uid="{00000000-0005-0000-0000-000058000000}"/>
    <cellStyle name="% 5 10" xfId="91" xr:uid="{00000000-0005-0000-0000-000059000000}"/>
    <cellStyle name="% 5 10 2" xfId="4490" xr:uid="{01799E47-E179-4A11-90B1-9A33E00E35F3}"/>
    <cellStyle name="% 5 10 3" xfId="2416" xr:uid="{F4BE9E04-0C63-4CFA-8733-FA2ED83DE3A7}"/>
    <cellStyle name="% 5 11" xfId="92" xr:uid="{00000000-0005-0000-0000-00005A000000}"/>
    <cellStyle name="% 5 11 2" xfId="4491" xr:uid="{1631C2AB-7BEC-46E5-821D-4B6F2C0DDE09}"/>
    <cellStyle name="% 5 11 3" xfId="2417" xr:uid="{33B8244F-E4DD-4AAE-B19E-ED0D0EFAB0F3}"/>
    <cellStyle name="% 5 12" xfId="93" xr:uid="{00000000-0005-0000-0000-00005B000000}"/>
    <cellStyle name="% 5 12 2" xfId="4492" xr:uid="{1FFDCF21-7ED8-43A4-B869-269531115C05}"/>
    <cellStyle name="% 5 12 3" xfId="2418" xr:uid="{C95B7A13-3BF9-4BB4-BDE7-C6DF015BA70E}"/>
    <cellStyle name="% 5 13" xfId="94" xr:uid="{00000000-0005-0000-0000-00005C000000}"/>
    <cellStyle name="% 5 13 2" xfId="4493" xr:uid="{8CAA4A30-2FFF-4E3C-92A2-3AA4425744A9}"/>
    <cellStyle name="% 5 13 3" xfId="2419" xr:uid="{D7D08998-3D52-42DC-B9DF-427D9E9F1C98}"/>
    <cellStyle name="% 5 14" xfId="95" xr:uid="{00000000-0005-0000-0000-00005D000000}"/>
    <cellStyle name="% 5 14 2" xfId="4494" xr:uid="{662CFC49-96B6-4E44-8C16-DA371CBCB4D6}"/>
    <cellStyle name="% 5 14 3" xfId="2420" xr:uid="{89FE8F50-D002-47A0-BF10-43CE08659DAF}"/>
    <cellStyle name="% 5 15" xfId="96" xr:uid="{00000000-0005-0000-0000-00005E000000}"/>
    <cellStyle name="% 5 15 2" xfId="4495" xr:uid="{E9606B7D-7A63-4F47-8615-C2831AE72918}"/>
    <cellStyle name="% 5 15 3" xfId="2421" xr:uid="{51C7EA70-11B7-4CF7-BD36-62284E2BB7E5}"/>
    <cellStyle name="% 5 16" xfId="97" xr:uid="{00000000-0005-0000-0000-00005F000000}"/>
    <cellStyle name="% 5 16 2" xfId="4496" xr:uid="{E0CF0416-990A-495D-9010-1F760D64B54F}"/>
    <cellStyle name="% 5 16 3" xfId="2422" xr:uid="{79F07168-97CD-43A5-A880-F4B98077C184}"/>
    <cellStyle name="% 5 17" xfId="98" xr:uid="{00000000-0005-0000-0000-000060000000}"/>
    <cellStyle name="% 5 17 2" xfId="4497" xr:uid="{15C4AFB7-E154-4088-BD44-EEC9A56872C5}"/>
    <cellStyle name="% 5 17 3" xfId="2423" xr:uid="{95369E0C-E2D5-4CF4-AD57-595970F3CC7D}"/>
    <cellStyle name="% 5 18" xfId="99" xr:uid="{00000000-0005-0000-0000-000061000000}"/>
    <cellStyle name="% 5 18 2" xfId="4498" xr:uid="{323EFC3B-6E2A-4CF6-A921-37F8C07A7B86}"/>
    <cellStyle name="% 5 18 3" xfId="2424" xr:uid="{E9D9D72B-F75E-42C7-A8BA-8DB9A49A043E}"/>
    <cellStyle name="% 5 19" xfId="100" xr:uid="{00000000-0005-0000-0000-000062000000}"/>
    <cellStyle name="% 5 19 2" xfId="4499" xr:uid="{E056DEAD-634C-4E4F-A486-CD4FFD189BA7}"/>
    <cellStyle name="% 5 19 3" xfId="2425" xr:uid="{662427B1-533E-42DD-A410-2DE3C8DA7DF2}"/>
    <cellStyle name="% 5 2" xfId="101" xr:uid="{00000000-0005-0000-0000-000063000000}"/>
    <cellStyle name="% 5 2 2" xfId="4500" xr:uid="{989E09C6-0B90-41A1-8920-7A89B72817BA}"/>
    <cellStyle name="% 5 2 3" xfId="2426" xr:uid="{C1CAB3B3-F35E-4905-9BA8-34FD770BDAA1}"/>
    <cellStyle name="% 5 20" xfId="102" xr:uid="{00000000-0005-0000-0000-000064000000}"/>
    <cellStyle name="% 5 20 2" xfId="4501" xr:uid="{E4E53B43-EC0E-4694-8C02-D66B2EFEC2F8}"/>
    <cellStyle name="% 5 20 3" xfId="2427" xr:uid="{EC4FBC31-ADC3-4879-B872-2A7331895F5B}"/>
    <cellStyle name="% 5 21" xfId="103" xr:uid="{00000000-0005-0000-0000-000065000000}"/>
    <cellStyle name="% 5 21 2" xfId="4502" xr:uid="{2B330C4A-DD97-46AC-B78E-22240BA045B2}"/>
    <cellStyle name="% 5 21 3" xfId="2428" xr:uid="{57F59FD6-1197-4C63-9D06-A264C36E86EF}"/>
    <cellStyle name="% 5 22" xfId="104" xr:uid="{00000000-0005-0000-0000-000066000000}"/>
    <cellStyle name="% 5 22 2" xfId="4503" xr:uid="{4EA23A52-654E-49E8-899C-8356964F235C}"/>
    <cellStyle name="% 5 22 3" xfId="2429" xr:uid="{8AD89BCC-C8EF-41F5-822E-428C522EEADB}"/>
    <cellStyle name="% 5 23" xfId="105" xr:uid="{00000000-0005-0000-0000-000067000000}"/>
    <cellStyle name="% 5 23 2" xfId="4504" xr:uid="{15D377A9-999F-42C1-9069-01430540BE36}"/>
    <cellStyle name="% 5 23 3" xfId="2430" xr:uid="{FB121142-261B-42FB-8FE1-48DADC32D6FD}"/>
    <cellStyle name="% 5 24" xfId="106" xr:uid="{00000000-0005-0000-0000-000068000000}"/>
    <cellStyle name="% 5 24 2" xfId="4505" xr:uid="{DBE123A5-4CE5-465B-94E5-BB1ADEACE64B}"/>
    <cellStyle name="% 5 24 3" xfId="2431" xr:uid="{78B11D38-D28E-463B-B524-D9AE2664BD27}"/>
    <cellStyle name="% 5 25" xfId="107" xr:uid="{00000000-0005-0000-0000-000069000000}"/>
    <cellStyle name="% 5 25 2" xfId="4506" xr:uid="{8E1BB1C4-C58B-42B7-BCE7-FB05D58A724D}"/>
    <cellStyle name="% 5 25 3" xfId="2432" xr:uid="{67E902A7-0F6E-4C60-ACCE-37EDB37F544A}"/>
    <cellStyle name="% 5 26" xfId="108" xr:uid="{00000000-0005-0000-0000-00006A000000}"/>
    <cellStyle name="% 5 26 2" xfId="4507" xr:uid="{88CFC4F3-3F38-42BC-BC3F-06EE221C71AA}"/>
    <cellStyle name="% 5 26 3" xfId="2433" xr:uid="{D03C666E-B429-4475-8789-1CC31A93DD4A}"/>
    <cellStyle name="% 5 27" xfId="109" xr:uid="{00000000-0005-0000-0000-00006B000000}"/>
    <cellStyle name="% 5 27 2" xfId="4508" xr:uid="{1CCD9C87-F988-4634-9035-8CF9095B028E}"/>
    <cellStyle name="% 5 27 3" xfId="2434" xr:uid="{627EE016-53E2-4E0F-99F1-E9727BEB0378}"/>
    <cellStyle name="% 5 28" xfId="110" xr:uid="{00000000-0005-0000-0000-00006C000000}"/>
    <cellStyle name="% 5 28 2" xfId="4509" xr:uid="{74228BAD-251D-4802-8F76-10BCC13430CD}"/>
    <cellStyle name="% 5 28 3" xfId="2435" xr:uid="{B9B58DE5-963B-4D8A-9186-BC43E1FBC97C}"/>
    <cellStyle name="% 5 29" xfId="111" xr:uid="{00000000-0005-0000-0000-00006D000000}"/>
    <cellStyle name="% 5 29 2" xfId="4510" xr:uid="{CFD641C8-C2AE-40DA-BAD0-8FC049C7CFE6}"/>
    <cellStyle name="% 5 29 3" xfId="2436" xr:uid="{47AF0902-ECB4-42E5-9AF8-FB05252D62D8}"/>
    <cellStyle name="% 5 3" xfId="112" xr:uid="{00000000-0005-0000-0000-00006E000000}"/>
    <cellStyle name="% 5 3 2" xfId="4511" xr:uid="{F890E5A1-3147-41C2-BD96-82EA55F3C7B0}"/>
    <cellStyle name="% 5 3 3" xfId="2437" xr:uid="{C1157E24-C732-4457-9B50-0922BC3F6F9B}"/>
    <cellStyle name="% 5 30" xfId="4489" xr:uid="{CD7FE184-C59B-4796-AFEE-2DC1DC556EB3}"/>
    <cellStyle name="% 5 31" xfId="2415" xr:uid="{D61A367E-172C-422D-8495-BAC82264F044}"/>
    <cellStyle name="% 5 4" xfId="113" xr:uid="{00000000-0005-0000-0000-00006F000000}"/>
    <cellStyle name="% 5 4 2" xfId="4512" xr:uid="{1EEDB0E0-D4B4-46A3-9257-0388A9413D32}"/>
    <cellStyle name="% 5 4 3" xfId="2438" xr:uid="{76290538-A526-49B8-A343-900FBA2C57AE}"/>
    <cellStyle name="% 5 5" xfId="114" xr:uid="{00000000-0005-0000-0000-000070000000}"/>
    <cellStyle name="% 5 5 2" xfId="4513" xr:uid="{ACA25764-E035-497D-940A-F0DEB0245ACA}"/>
    <cellStyle name="% 5 5 3" xfId="2439" xr:uid="{A7514900-9DA6-4E36-8DF4-143E842325A7}"/>
    <cellStyle name="% 5 6" xfId="115" xr:uid="{00000000-0005-0000-0000-000071000000}"/>
    <cellStyle name="% 5 6 2" xfId="4514" xr:uid="{54A2D61C-8865-444E-B166-DB8015170E03}"/>
    <cellStyle name="% 5 6 3" xfId="2440" xr:uid="{E7B4FF75-F8F6-469E-81D8-67B2CB6AEB06}"/>
    <cellStyle name="% 5 7" xfId="116" xr:uid="{00000000-0005-0000-0000-000072000000}"/>
    <cellStyle name="% 5 7 2" xfId="4515" xr:uid="{92A8CD86-6E76-4A15-8302-FFD003894002}"/>
    <cellStyle name="% 5 7 3" xfId="2441" xr:uid="{025F9607-4DD9-4124-BDD1-0C66D87C7B0E}"/>
    <cellStyle name="% 5 8" xfId="117" xr:uid="{00000000-0005-0000-0000-000073000000}"/>
    <cellStyle name="% 5 8 2" xfId="4516" xr:uid="{1CB8A932-1856-4E0B-BFA3-DA3276D54BA5}"/>
    <cellStyle name="% 5 8 3" xfId="2442" xr:uid="{6E63434E-A9B7-4D88-8850-31A4BAF87E24}"/>
    <cellStyle name="% 5 9" xfId="118" xr:uid="{00000000-0005-0000-0000-000074000000}"/>
    <cellStyle name="% 5 9 2" xfId="4517" xr:uid="{09FD9C08-0E09-43C6-9C79-FC18CF22ED0F}"/>
    <cellStyle name="% 5 9 3" xfId="2443" xr:uid="{204DABB8-DC1D-4ACF-BFCB-0DD3C975C280}"/>
    <cellStyle name="% 6" xfId="119" xr:uid="{00000000-0005-0000-0000-000075000000}"/>
    <cellStyle name="% 6 10" xfId="120" xr:uid="{00000000-0005-0000-0000-000076000000}"/>
    <cellStyle name="% 6 10 2" xfId="4519" xr:uid="{F63DE6DE-6281-4D52-A6BD-AB66D4C7742A}"/>
    <cellStyle name="% 6 10 3" xfId="2445" xr:uid="{877C89FA-63EC-4E80-A08D-714C812453F6}"/>
    <cellStyle name="% 6 11" xfId="121" xr:uid="{00000000-0005-0000-0000-000077000000}"/>
    <cellStyle name="% 6 11 2" xfId="4520" xr:uid="{3DCB83E1-EC84-480D-B3D3-4861CDC8B82C}"/>
    <cellStyle name="% 6 11 3" xfId="2446" xr:uid="{3828C120-01DE-4BAF-A5DC-159EE35C03DD}"/>
    <cellStyle name="% 6 12" xfId="122" xr:uid="{00000000-0005-0000-0000-000078000000}"/>
    <cellStyle name="% 6 12 2" xfId="4521" xr:uid="{0CCADBAD-4132-4869-B9A4-E721FCB20989}"/>
    <cellStyle name="% 6 12 3" xfId="2447" xr:uid="{FA896C8E-1E85-4185-B8F1-36D954538B45}"/>
    <cellStyle name="% 6 13" xfId="123" xr:uid="{00000000-0005-0000-0000-000079000000}"/>
    <cellStyle name="% 6 13 2" xfId="4522" xr:uid="{F7441890-8473-4220-8CFE-077636A53277}"/>
    <cellStyle name="% 6 13 3" xfId="2448" xr:uid="{E07237BB-D6E3-40D0-AA02-B3AAE230C00F}"/>
    <cellStyle name="% 6 14" xfId="124" xr:uid="{00000000-0005-0000-0000-00007A000000}"/>
    <cellStyle name="% 6 14 2" xfId="4523" xr:uid="{F35B062A-2D10-4531-A0E6-F244100B088D}"/>
    <cellStyle name="% 6 14 3" xfId="2449" xr:uid="{D91136B0-846D-4497-A36A-9A825D733081}"/>
    <cellStyle name="% 6 15" xfId="125" xr:uid="{00000000-0005-0000-0000-00007B000000}"/>
    <cellStyle name="% 6 15 2" xfId="4524" xr:uid="{EE6099EB-44D3-4B8E-9CA1-7F4C13A6664A}"/>
    <cellStyle name="% 6 15 3" xfId="2450" xr:uid="{986DD7D9-7E24-4428-A6D2-5881D2E0840F}"/>
    <cellStyle name="% 6 16" xfId="126" xr:uid="{00000000-0005-0000-0000-00007C000000}"/>
    <cellStyle name="% 6 16 2" xfId="4525" xr:uid="{C1F1DA80-3767-4F57-9CE1-9EC3DD54D02D}"/>
    <cellStyle name="% 6 16 3" xfId="2451" xr:uid="{C47B8609-C9D0-4819-A24B-B1C860054280}"/>
    <cellStyle name="% 6 17" xfId="127" xr:uid="{00000000-0005-0000-0000-00007D000000}"/>
    <cellStyle name="% 6 17 2" xfId="4526" xr:uid="{BA47CA42-FB60-4473-A4FF-70474BF4EF7B}"/>
    <cellStyle name="% 6 17 3" xfId="2452" xr:uid="{40D0FCB8-3E89-4D5F-8E2C-7B93C0C84A8E}"/>
    <cellStyle name="% 6 18" xfId="128" xr:uid="{00000000-0005-0000-0000-00007E000000}"/>
    <cellStyle name="% 6 18 2" xfId="4527" xr:uid="{87F9B0F3-6FEF-4E44-8553-9D2E6E7090AE}"/>
    <cellStyle name="% 6 18 3" xfId="2453" xr:uid="{17EE35F1-009C-4CB6-BA1C-E319D6515B25}"/>
    <cellStyle name="% 6 19" xfId="129" xr:uid="{00000000-0005-0000-0000-00007F000000}"/>
    <cellStyle name="% 6 19 2" xfId="4528" xr:uid="{2FDED227-C6E9-4362-960B-000C7DE6C6B5}"/>
    <cellStyle name="% 6 19 3" xfId="2454" xr:uid="{156A65D0-A5E9-439F-83AE-CF75448BF65B}"/>
    <cellStyle name="% 6 2" xfId="130" xr:uid="{00000000-0005-0000-0000-000080000000}"/>
    <cellStyle name="% 6 2 2" xfId="4529" xr:uid="{59E53614-EEBF-41CC-9C54-296A2BE608E1}"/>
    <cellStyle name="% 6 2 3" xfId="2455" xr:uid="{85820E17-707C-4612-A211-624777003132}"/>
    <cellStyle name="% 6 20" xfId="131" xr:uid="{00000000-0005-0000-0000-000081000000}"/>
    <cellStyle name="% 6 20 2" xfId="4530" xr:uid="{6AC70B4D-61A4-4789-B55A-378657256CCD}"/>
    <cellStyle name="% 6 20 3" xfId="2456" xr:uid="{F55BBBB6-FA02-4482-AD4C-F548B48D8391}"/>
    <cellStyle name="% 6 21" xfId="132" xr:uid="{00000000-0005-0000-0000-000082000000}"/>
    <cellStyle name="% 6 21 2" xfId="4531" xr:uid="{5555E9E0-5D4D-4397-A219-CC307B005A04}"/>
    <cellStyle name="% 6 21 3" xfId="2457" xr:uid="{5D9E755D-7C8F-4D25-B8D3-075D16B435E6}"/>
    <cellStyle name="% 6 22" xfId="133" xr:uid="{00000000-0005-0000-0000-000083000000}"/>
    <cellStyle name="% 6 22 2" xfId="4532" xr:uid="{7995145F-6D29-4098-BF4A-182EEFE66750}"/>
    <cellStyle name="% 6 22 3" xfId="2458" xr:uid="{1595D2F0-0C8D-4C89-BE70-E675D1C1A869}"/>
    <cellStyle name="% 6 23" xfId="134" xr:uid="{00000000-0005-0000-0000-000084000000}"/>
    <cellStyle name="% 6 23 2" xfId="4533" xr:uid="{0FE6806A-C991-4B85-8E14-25157F907F38}"/>
    <cellStyle name="% 6 23 3" xfId="2459" xr:uid="{CA8ACB9C-E223-4F71-A906-73BCC6877ED7}"/>
    <cellStyle name="% 6 24" xfId="135" xr:uid="{00000000-0005-0000-0000-000085000000}"/>
    <cellStyle name="% 6 24 2" xfId="4534" xr:uid="{BD35A463-5B4D-4656-83D1-9BEC31D16672}"/>
    <cellStyle name="% 6 24 3" xfId="2460" xr:uid="{718BABCF-9A6E-436E-9BBA-E29183463E8E}"/>
    <cellStyle name="% 6 25" xfId="136" xr:uid="{00000000-0005-0000-0000-000086000000}"/>
    <cellStyle name="% 6 25 2" xfId="4535" xr:uid="{FF73C93F-EE58-47D5-92F8-A04E6745CBCC}"/>
    <cellStyle name="% 6 25 3" xfId="2461" xr:uid="{CED95A46-9B7C-46C3-8465-73E8A273B412}"/>
    <cellStyle name="% 6 26" xfId="137" xr:uid="{00000000-0005-0000-0000-000087000000}"/>
    <cellStyle name="% 6 26 2" xfId="4536" xr:uid="{EAE6FDDC-705D-45FE-9D84-E3A9ED4EED9D}"/>
    <cellStyle name="% 6 26 3" xfId="2462" xr:uid="{FC297F10-A40F-4DC6-8585-3FE6BFC3F711}"/>
    <cellStyle name="% 6 27" xfId="138" xr:uid="{00000000-0005-0000-0000-000088000000}"/>
    <cellStyle name="% 6 27 2" xfId="4537" xr:uid="{2407F6C8-3FE9-40C7-9FCC-DC4A5B931B03}"/>
    <cellStyle name="% 6 27 3" xfId="2463" xr:uid="{E2260DDA-BEA4-4794-BAB0-810C660C634B}"/>
    <cellStyle name="% 6 28" xfId="139" xr:uid="{00000000-0005-0000-0000-000089000000}"/>
    <cellStyle name="% 6 28 2" xfId="4538" xr:uid="{A8BA0C3B-B72F-43A5-A19C-C90596CEED44}"/>
    <cellStyle name="% 6 28 3" xfId="2464" xr:uid="{7B399D2A-EFF0-4426-8E58-501667008B48}"/>
    <cellStyle name="% 6 29" xfId="140" xr:uid="{00000000-0005-0000-0000-00008A000000}"/>
    <cellStyle name="% 6 29 2" xfId="4539" xr:uid="{C92E5B08-AC4A-42C5-B163-5C32D8B11AB4}"/>
    <cellStyle name="% 6 29 3" xfId="2465" xr:uid="{59B52951-0451-4736-B752-13AA44862B81}"/>
    <cellStyle name="% 6 3" xfId="141" xr:uid="{00000000-0005-0000-0000-00008B000000}"/>
    <cellStyle name="% 6 3 2" xfId="4540" xr:uid="{1FAD69F1-EEC8-40E3-8F32-BF6B780302D2}"/>
    <cellStyle name="% 6 3 3" xfId="2466" xr:uid="{682F94D0-5FB2-4AE7-9E77-E3D7D1CC9891}"/>
    <cellStyle name="% 6 30" xfId="4518" xr:uid="{2DC45D78-4BC0-4AD4-BC00-3BFEDC16F4B9}"/>
    <cellStyle name="% 6 31" xfId="2444" xr:uid="{BB78EB4A-E2EF-42CB-891E-7E2E2EC514DA}"/>
    <cellStyle name="% 6 4" xfId="142" xr:uid="{00000000-0005-0000-0000-00008C000000}"/>
    <cellStyle name="% 6 4 2" xfId="4541" xr:uid="{F1124C86-6258-4381-8C75-AE2433897838}"/>
    <cellStyle name="% 6 4 3" xfId="2467" xr:uid="{DFCE18EE-25E5-4E13-927B-3996DDDB8E09}"/>
    <cellStyle name="% 6 5" xfId="143" xr:uid="{00000000-0005-0000-0000-00008D000000}"/>
    <cellStyle name="% 6 5 2" xfId="4542" xr:uid="{97D051EA-F223-4DA9-B2D0-231A68B449FB}"/>
    <cellStyle name="% 6 5 3" xfId="2468" xr:uid="{00CDA741-64CD-4E27-A1DE-6D26278C4BE5}"/>
    <cellStyle name="% 6 6" xfId="144" xr:uid="{00000000-0005-0000-0000-00008E000000}"/>
    <cellStyle name="% 6 6 2" xfId="4543" xr:uid="{33876605-4182-466A-8996-D3B5D7A3A338}"/>
    <cellStyle name="% 6 6 3" xfId="2469" xr:uid="{459D1D08-E43C-45BB-A416-2E21011B94F9}"/>
    <cellStyle name="% 6 7" xfId="145" xr:uid="{00000000-0005-0000-0000-00008F000000}"/>
    <cellStyle name="% 6 7 2" xfId="4544" xr:uid="{50009EE6-21EA-4825-9CEC-CB4CA828F5A4}"/>
    <cellStyle name="% 6 7 3" xfId="2470" xr:uid="{2A817CAF-0851-45AF-BDD7-7BFD2088E2C3}"/>
    <cellStyle name="% 6 8" xfId="146" xr:uid="{00000000-0005-0000-0000-000090000000}"/>
    <cellStyle name="% 6 8 2" xfId="4545" xr:uid="{DAD4CC38-1073-4A08-8E4C-D91B0C45A450}"/>
    <cellStyle name="% 6 8 3" xfId="2471" xr:uid="{26222BA8-E197-4C71-824F-0DB06FCA5051}"/>
    <cellStyle name="% 6 9" xfId="147" xr:uid="{00000000-0005-0000-0000-000091000000}"/>
    <cellStyle name="% 6 9 2" xfId="4546" xr:uid="{ECD7DC15-728C-418D-AA9F-CBA7BE6A8178}"/>
    <cellStyle name="% 6 9 3" xfId="2472" xr:uid="{37C0F15E-4FCF-4A50-9AAB-0EB8F5B79AD0}"/>
    <cellStyle name="% 7" xfId="4401" xr:uid="{14417EAA-444A-4398-B28F-45C7A9F47E2D}"/>
    <cellStyle name="% 8" xfId="2327" xr:uid="{286F0BF5-2C17-461B-B344-4683FF6330E5}"/>
    <cellStyle name="0000" xfId="148" xr:uid="{00000000-0005-0000-0000-000092000000}"/>
    <cellStyle name="000000" xfId="149" xr:uid="{00000000-0005-0000-0000-000093000000}"/>
    <cellStyle name="20% - Accent1 2" xfId="150" xr:uid="{00000000-0005-0000-0000-000094000000}"/>
    <cellStyle name="20% - Accent1 3" xfId="151" xr:uid="{00000000-0005-0000-0000-000095000000}"/>
    <cellStyle name="20% - Accent1 4" xfId="152" xr:uid="{00000000-0005-0000-0000-000096000000}"/>
    <cellStyle name="20% - Accent1 5" xfId="153" xr:uid="{00000000-0005-0000-0000-000097000000}"/>
    <cellStyle name="20% - Accent1 6" xfId="154" xr:uid="{00000000-0005-0000-0000-000098000000}"/>
    <cellStyle name="20% - Accent2 2" xfId="155" xr:uid="{00000000-0005-0000-0000-000099000000}"/>
    <cellStyle name="20% - Accent2 3" xfId="156" xr:uid="{00000000-0005-0000-0000-00009A000000}"/>
    <cellStyle name="20% - Accent2 4" xfId="157" xr:uid="{00000000-0005-0000-0000-00009B000000}"/>
    <cellStyle name="20% - Accent2 5" xfId="158" xr:uid="{00000000-0005-0000-0000-00009C000000}"/>
    <cellStyle name="20% - Accent2 6" xfId="159" xr:uid="{00000000-0005-0000-0000-00009D000000}"/>
    <cellStyle name="20% - Accent3 2" xfId="160" xr:uid="{00000000-0005-0000-0000-00009E000000}"/>
    <cellStyle name="20% - Accent3 3" xfId="161" xr:uid="{00000000-0005-0000-0000-00009F000000}"/>
    <cellStyle name="20% - Accent3 4" xfId="162" xr:uid="{00000000-0005-0000-0000-0000A0000000}"/>
    <cellStyle name="20% - Accent3 5" xfId="163" xr:uid="{00000000-0005-0000-0000-0000A1000000}"/>
    <cellStyle name="20% - Accent3 6" xfId="164" xr:uid="{00000000-0005-0000-0000-0000A2000000}"/>
    <cellStyle name="20% - Accent4 2" xfId="165" xr:uid="{00000000-0005-0000-0000-0000A3000000}"/>
    <cellStyle name="20% - Accent4 3" xfId="166" xr:uid="{00000000-0005-0000-0000-0000A4000000}"/>
    <cellStyle name="20% - Accent4 4" xfId="167" xr:uid="{00000000-0005-0000-0000-0000A5000000}"/>
    <cellStyle name="20% - Accent4 5" xfId="168" xr:uid="{00000000-0005-0000-0000-0000A6000000}"/>
    <cellStyle name="20% - Accent4 6" xfId="169" xr:uid="{00000000-0005-0000-0000-0000A7000000}"/>
    <cellStyle name="20% - Accent5 2" xfId="170" xr:uid="{00000000-0005-0000-0000-0000A8000000}"/>
    <cellStyle name="20% - Accent5 3" xfId="171" xr:uid="{00000000-0005-0000-0000-0000A9000000}"/>
    <cellStyle name="20% - Accent5 4" xfId="172" xr:uid="{00000000-0005-0000-0000-0000AA000000}"/>
    <cellStyle name="20% - Accent5 5" xfId="173" xr:uid="{00000000-0005-0000-0000-0000AB000000}"/>
    <cellStyle name="20% - Accent5 6" xfId="174" xr:uid="{00000000-0005-0000-0000-0000AC000000}"/>
    <cellStyle name="20% - Accent6 2" xfId="175" xr:uid="{00000000-0005-0000-0000-0000AD000000}"/>
    <cellStyle name="20% - Accent6 3" xfId="176" xr:uid="{00000000-0005-0000-0000-0000AE000000}"/>
    <cellStyle name="20% - Accent6 4" xfId="177" xr:uid="{00000000-0005-0000-0000-0000AF000000}"/>
    <cellStyle name="20% - Accent6 5" xfId="178" xr:uid="{00000000-0005-0000-0000-0000B0000000}"/>
    <cellStyle name="20% - Accent6 6" xfId="179" xr:uid="{00000000-0005-0000-0000-0000B1000000}"/>
    <cellStyle name="40% - Accent1 2" xfId="180" xr:uid="{00000000-0005-0000-0000-0000B2000000}"/>
    <cellStyle name="40% - Accent1 3" xfId="181" xr:uid="{00000000-0005-0000-0000-0000B3000000}"/>
    <cellStyle name="40% - Accent1 4" xfId="182" xr:uid="{00000000-0005-0000-0000-0000B4000000}"/>
    <cellStyle name="40% - Accent1 5" xfId="183" xr:uid="{00000000-0005-0000-0000-0000B5000000}"/>
    <cellStyle name="40% - Accent1 6" xfId="184" xr:uid="{00000000-0005-0000-0000-0000B6000000}"/>
    <cellStyle name="40% - Accent2 2" xfId="185" xr:uid="{00000000-0005-0000-0000-0000B7000000}"/>
    <cellStyle name="40% - Accent2 3" xfId="186" xr:uid="{00000000-0005-0000-0000-0000B8000000}"/>
    <cellStyle name="40% - Accent2 4" xfId="187" xr:uid="{00000000-0005-0000-0000-0000B9000000}"/>
    <cellStyle name="40% - Accent2 5" xfId="188" xr:uid="{00000000-0005-0000-0000-0000BA000000}"/>
    <cellStyle name="40% - Accent2 6" xfId="189" xr:uid="{00000000-0005-0000-0000-0000BB000000}"/>
    <cellStyle name="40% - Accent3 2" xfId="190" xr:uid="{00000000-0005-0000-0000-0000BC000000}"/>
    <cellStyle name="40% - Accent3 3" xfId="191" xr:uid="{00000000-0005-0000-0000-0000BD000000}"/>
    <cellStyle name="40% - Accent3 4" xfId="192" xr:uid="{00000000-0005-0000-0000-0000BE000000}"/>
    <cellStyle name="40% - Accent3 5" xfId="193" xr:uid="{00000000-0005-0000-0000-0000BF000000}"/>
    <cellStyle name="40% - Accent3 6" xfId="194" xr:uid="{00000000-0005-0000-0000-0000C0000000}"/>
    <cellStyle name="40% - Accent4 2" xfId="195" xr:uid="{00000000-0005-0000-0000-0000C1000000}"/>
    <cellStyle name="40% - Accent4 3" xfId="196" xr:uid="{00000000-0005-0000-0000-0000C2000000}"/>
    <cellStyle name="40% - Accent4 4" xfId="197" xr:uid="{00000000-0005-0000-0000-0000C3000000}"/>
    <cellStyle name="40% - Accent4 5" xfId="198" xr:uid="{00000000-0005-0000-0000-0000C4000000}"/>
    <cellStyle name="40% - Accent4 6" xfId="199" xr:uid="{00000000-0005-0000-0000-0000C5000000}"/>
    <cellStyle name="40% - Accent5 2" xfId="200" xr:uid="{00000000-0005-0000-0000-0000C6000000}"/>
    <cellStyle name="40% - Accent5 3" xfId="201" xr:uid="{00000000-0005-0000-0000-0000C7000000}"/>
    <cellStyle name="40% - Accent5 4" xfId="202" xr:uid="{00000000-0005-0000-0000-0000C8000000}"/>
    <cellStyle name="40% - Accent5 5" xfId="203" xr:uid="{00000000-0005-0000-0000-0000C9000000}"/>
    <cellStyle name="40% - Accent5 6" xfId="204" xr:uid="{00000000-0005-0000-0000-0000CA000000}"/>
    <cellStyle name="40% - Accent6 2" xfId="205" xr:uid="{00000000-0005-0000-0000-0000CB000000}"/>
    <cellStyle name="40% - Accent6 3" xfId="206" xr:uid="{00000000-0005-0000-0000-0000CC000000}"/>
    <cellStyle name="40% - Accent6 4" xfId="207" xr:uid="{00000000-0005-0000-0000-0000CD000000}"/>
    <cellStyle name="40% - Accent6 5" xfId="208" xr:uid="{00000000-0005-0000-0000-0000CE000000}"/>
    <cellStyle name="40% - Accent6 6" xfId="209" xr:uid="{00000000-0005-0000-0000-0000CF000000}"/>
    <cellStyle name="60% - Accent1 2" xfId="210" xr:uid="{00000000-0005-0000-0000-0000D0000000}"/>
    <cellStyle name="60% - Accent1 3" xfId="211" xr:uid="{00000000-0005-0000-0000-0000D1000000}"/>
    <cellStyle name="60% - Accent1 4" xfId="212" xr:uid="{00000000-0005-0000-0000-0000D2000000}"/>
    <cellStyle name="60% - Accent1 5" xfId="213" xr:uid="{00000000-0005-0000-0000-0000D3000000}"/>
    <cellStyle name="60% - Accent1 6" xfId="214" xr:uid="{00000000-0005-0000-0000-0000D4000000}"/>
    <cellStyle name="60% - Accent2 2" xfId="215" xr:uid="{00000000-0005-0000-0000-0000D5000000}"/>
    <cellStyle name="60% - Accent2 3" xfId="216" xr:uid="{00000000-0005-0000-0000-0000D6000000}"/>
    <cellStyle name="60% - Accent2 4" xfId="217" xr:uid="{00000000-0005-0000-0000-0000D7000000}"/>
    <cellStyle name="60% - Accent2 5" xfId="218" xr:uid="{00000000-0005-0000-0000-0000D8000000}"/>
    <cellStyle name="60% - Accent2 6" xfId="219" xr:uid="{00000000-0005-0000-0000-0000D9000000}"/>
    <cellStyle name="60% - Accent3 2" xfId="220" xr:uid="{00000000-0005-0000-0000-0000DA000000}"/>
    <cellStyle name="60% - Accent3 3" xfId="221" xr:uid="{00000000-0005-0000-0000-0000DB000000}"/>
    <cellStyle name="60% - Accent3 4" xfId="222" xr:uid="{00000000-0005-0000-0000-0000DC000000}"/>
    <cellStyle name="60% - Accent3 5" xfId="223" xr:uid="{00000000-0005-0000-0000-0000DD000000}"/>
    <cellStyle name="60% - Accent3 6" xfId="224" xr:uid="{00000000-0005-0000-0000-0000DE000000}"/>
    <cellStyle name="60% - Accent4 2" xfId="225" xr:uid="{00000000-0005-0000-0000-0000DF000000}"/>
    <cellStyle name="60% - Accent4 3" xfId="226" xr:uid="{00000000-0005-0000-0000-0000E0000000}"/>
    <cellStyle name="60% - Accent4 4" xfId="227" xr:uid="{00000000-0005-0000-0000-0000E1000000}"/>
    <cellStyle name="60% - Accent4 5" xfId="228" xr:uid="{00000000-0005-0000-0000-0000E2000000}"/>
    <cellStyle name="60% - Accent4 6" xfId="229" xr:uid="{00000000-0005-0000-0000-0000E3000000}"/>
    <cellStyle name="60% - Accent5 2" xfId="230" xr:uid="{00000000-0005-0000-0000-0000E4000000}"/>
    <cellStyle name="60% - Accent5 3" xfId="231" xr:uid="{00000000-0005-0000-0000-0000E5000000}"/>
    <cellStyle name="60% - Accent5 4" xfId="232" xr:uid="{00000000-0005-0000-0000-0000E6000000}"/>
    <cellStyle name="60% - Accent5 5" xfId="233" xr:uid="{00000000-0005-0000-0000-0000E7000000}"/>
    <cellStyle name="60% - Accent5 6" xfId="234" xr:uid="{00000000-0005-0000-0000-0000E8000000}"/>
    <cellStyle name="60% - Accent6 2" xfId="235" xr:uid="{00000000-0005-0000-0000-0000E9000000}"/>
    <cellStyle name="60% - Accent6 3" xfId="236" xr:uid="{00000000-0005-0000-0000-0000EA000000}"/>
    <cellStyle name="60% - Accent6 4" xfId="237" xr:uid="{00000000-0005-0000-0000-0000EB000000}"/>
    <cellStyle name="60% - Accent6 5" xfId="238" xr:uid="{00000000-0005-0000-0000-0000EC000000}"/>
    <cellStyle name="60% - Accent6 6" xfId="239" xr:uid="{00000000-0005-0000-0000-0000ED000000}"/>
    <cellStyle name="Accent1 2" xfId="240" xr:uid="{00000000-0005-0000-0000-0000EE000000}"/>
    <cellStyle name="Accent1 3" xfId="241" xr:uid="{00000000-0005-0000-0000-0000EF000000}"/>
    <cellStyle name="Accent1 4" xfId="242" xr:uid="{00000000-0005-0000-0000-0000F0000000}"/>
    <cellStyle name="Accent1 5" xfId="243" xr:uid="{00000000-0005-0000-0000-0000F1000000}"/>
    <cellStyle name="Accent1 6" xfId="244" xr:uid="{00000000-0005-0000-0000-0000F2000000}"/>
    <cellStyle name="Accent2 2" xfId="245" xr:uid="{00000000-0005-0000-0000-0000F3000000}"/>
    <cellStyle name="Accent2 3" xfId="246" xr:uid="{00000000-0005-0000-0000-0000F4000000}"/>
    <cellStyle name="Accent2 4" xfId="247" xr:uid="{00000000-0005-0000-0000-0000F5000000}"/>
    <cellStyle name="Accent2 5" xfId="248" xr:uid="{00000000-0005-0000-0000-0000F6000000}"/>
    <cellStyle name="Accent2 6" xfId="249" xr:uid="{00000000-0005-0000-0000-0000F7000000}"/>
    <cellStyle name="Accent3 2" xfId="250" xr:uid="{00000000-0005-0000-0000-0000F8000000}"/>
    <cellStyle name="Accent3 3" xfId="251" xr:uid="{00000000-0005-0000-0000-0000F9000000}"/>
    <cellStyle name="Accent3 4" xfId="252" xr:uid="{00000000-0005-0000-0000-0000FA000000}"/>
    <cellStyle name="Accent3 5" xfId="253" xr:uid="{00000000-0005-0000-0000-0000FB000000}"/>
    <cellStyle name="Accent3 6" xfId="254" xr:uid="{00000000-0005-0000-0000-0000FC000000}"/>
    <cellStyle name="Accent4 2" xfId="255" xr:uid="{00000000-0005-0000-0000-0000FD000000}"/>
    <cellStyle name="Accent4 3" xfId="256" xr:uid="{00000000-0005-0000-0000-0000FE000000}"/>
    <cellStyle name="Accent4 4" xfId="257" xr:uid="{00000000-0005-0000-0000-0000FF000000}"/>
    <cellStyle name="Accent4 5" xfId="258" xr:uid="{00000000-0005-0000-0000-000000010000}"/>
    <cellStyle name="Accent4 6" xfId="259" xr:uid="{00000000-0005-0000-0000-000001010000}"/>
    <cellStyle name="Accent5 2" xfId="260" xr:uid="{00000000-0005-0000-0000-000002010000}"/>
    <cellStyle name="Accent5 3" xfId="261" xr:uid="{00000000-0005-0000-0000-000003010000}"/>
    <cellStyle name="Accent5 4" xfId="262" xr:uid="{00000000-0005-0000-0000-000004010000}"/>
    <cellStyle name="Accent5 5" xfId="263" xr:uid="{00000000-0005-0000-0000-000005010000}"/>
    <cellStyle name="Accent5 6" xfId="264" xr:uid="{00000000-0005-0000-0000-000006010000}"/>
    <cellStyle name="Accent6 2" xfId="265" xr:uid="{00000000-0005-0000-0000-000007010000}"/>
    <cellStyle name="Accent6 3" xfId="266" xr:uid="{00000000-0005-0000-0000-000008010000}"/>
    <cellStyle name="Accent6 4" xfId="267" xr:uid="{00000000-0005-0000-0000-000009010000}"/>
    <cellStyle name="Accent6 5" xfId="268" xr:uid="{00000000-0005-0000-0000-00000A010000}"/>
    <cellStyle name="Accent6 6" xfId="269" xr:uid="{00000000-0005-0000-0000-00000B010000}"/>
    <cellStyle name="args.style" xfId="270" xr:uid="{00000000-0005-0000-0000-00000C010000}"/>
    <cellStyle name="Bad 2" xfId="271" xr:uid="{00000000-0005-0000-0000-00000D010000}"/>
    <cellStyle name="Bad 3" xfId="272" xr:uid="{00000000-0005-0000-0000-00000E010000}"/>
    <cellStyle name="Bad 4" xfId="273" xr:uid="{00000000-0005-0000-0000-00000F010000}"/>
    <cellStyle name="Bad 5" xfId="274" xr:uid="{00000000-0005-0000-0000-000010010000}"/>
    <cellStyle name="Bad 6" xfId="275" xr:uid="{00000000-0005-0000-0000-000011010000}"/>
    <cellStyle name="blank" xfId="276" xr:uid="{00000000-0005-0000-0000-000012010000}"/>
    <cellStyle name="Blue" xfId="277" xr:uid="{00000000-0005-0000-0000-000013010000}"/>
    <cellStyle name="Brown" xfId="278" xr:uid="{00000000-0005-0000-0000-000014010000}"/>
    <cellStyle name="Calc Currency (0)" xfId="279" xr:uid="{00000000-0005-0000-0000-000015010000}"/>
    <cellStyle name="Calculation 2" xfId="280" xr:uid="{00000000-0005-0000-0000-000016010000}"/>
    <cellStyle name="Calculation 2 2" xfId="4547" xr:uid="{A54DBA86-4DFA-4569-AFC5-934CFCB8E4B6}"/>
    <cellStyle name="Calculation 2 3" xfId="2473" xr:uid="{4B4C39B6-5F34-4DC6-A1F5-8FBA33043C4B}"/>
    <cellStyle name="Calculation 3" xfId="281" xr:uid="{00000000-0005-0000-0000-000017010000}"/>
    <cellStyle name="Calculation 3 2" xfId="4548" xr:uid="{2A7B650D-0DF8-4E02-A52D-71D780601EE4}"/>
    <cellStyle name="Calculation 3 3" xfId="2474" xr:uid="{26C5B44F-D060-485E-BAF0-83032EC7C81C}"/>
    <cellStyle name="Calculation 4" xfId="282" xr:uid="{00000000-0005-0000-0000-000018010000}"/>
    <cellStyle name="Calculation 4 2" xfId="4549" xr:uid="{976056CB-38FC-4123-A9F5-21B9A08D87BC}"/>
    <cellStyle name="Calculation 4 3" xfId="2475" xr:uid="{FE5EF16B-5FA7-4F45-BDC2-D44399F167F5}"/>
    <cellStyle name="Calculation 5" xfId="283" xr:uid="{00000000-0005-0000-0000-000019010000}"/>
    <cellStyle name="Calculation 5 2" xfId="4550" xr:uid="{BB0C2C41-1710-4BF5-A511-43200AFCB96F}"/>
    <cellStyle name="Calculation 5 3" xfId="2476" xr:uid="{0BE2306E-F16B-4011-A734-026D8FFDECAB}"/>
    <cellStyle name="Calculation 6" xfId="284" xr:uid="{00000000-0005-0000-0000-00001A010000}"/>
    <cellStyle name="Calculation 6 2" xfId="4551" xr:uid="{BF49501E-A003-4394-909D-752AD1B0AEB4}"/>
    <cellStyle name="Calculation 6 3" xfId="2477" xr:uid="{6A284138-FCB6-4DBD-9E53-E47151311DF8}"/>
    <cellStyle name="Check Cell 2" xfId="285" xr:uid="{00000000-0005-0000-0000-00001B010000}"/>
    <cellStyle name="Check Cell 3" xfId="286" xr:uid="{00000000-0005-0000-0000-00001C010000}"/>
    <cellStyle name="Check Cell 4" xfId="287" xr:uid="{00000000-0005-0000-0000-00001D010000}"/>
    <cellStyle name="Check Cell 5" xfId="288" xr:uid="{00000000-0005-0000-0000-00001E010000}"/>
    <cellStyle name="Check Cell 6" xfId="289" xr:uid="{00000000-0005-0000-0000-00001F010000}"/>
    <cellStyle name="Comma 4" xfId="2324" xr:uid="{00000000-0005-0000-0000-000020010000}"/>
    <cellStyle name="Copied" xfId="290" xr:uid="{00000000-0005-0000-0000-000021010000}"/>
    <cellStyle name="Currency" xfId="2326" builtinId="4"/>
    <cellStyle name="Currency 2" xfId="291" xr:uid="{00000000-0005-0000-0000-000022010000}"/>
    <cellStyle name="Currency 2 2" xfId="4552" xr:uid="{D048E17B-E74B-410B-8E91-141E80A69D80}"/>
    <cellStyle name="Currency 2 3" xfId="2478" xr:uid="{D78B3C42-7879-435E-9090-DE850728E113}"/>
    <cellStyle name="Cyan" xfId="292" xr:uid="{00000000-0005-0000-0000-000023010000}"/>
    <cellStyle name="D.Cyan" xfId="293" xr:uid="{00000000-0005-0000-0000-000024010000}"/>
    <cellStyle name="Dezimal [0]_pldt" xfId="294" xr:uid="{00000000-0005-0000-0000-000025010000}"/>
    <cellStyle name="Dezimal_pldt" xfId="295" xr:uid="{00000000-0005-0000-0000-000026010000}"/>
    <cellStyle name="Diseño" xfId="296" xr:uid="{00000000-0005-0000-0000-000027010000}"/>
    <cellStyle name="Diseño 2" xfId="297" xr:uid="{00000000-0005-0000-0000-000028010000}"/>
    <cellStyle name="Diseño 2 10" xfId="298" xr:uid="{00000000-0005-0000-0000-000029010000}"/>
    <cellStyle name="Diseño 2 10 2" xfId="4555" xr:uid="{DC1EF34E-3FE6-44E2-AD34-4BF2F01941E4}"/>
    <cellStyle name="Diseño 2 10 3" xfId="2481" xr:uid="{3F1E2FBB-8DFF-45EE-92D8-4988457D310D}"/>
    <cellStyle name="Diseño 2 11" xfId="299" xr:uid="{00000000-0005-0000-0000-00002A010000}"/>
    <cellStyle name="Diseño 2 11 2" xfId="4556" xr:uid="{3D08B524-5FC5-4273-A8D2-EDD4AEFFD357}"/>
    <cellStyle name="Diseño 2 11 3" xfId="2482" xr:uid="{AC47E2AD-C75F-4B51-8097-E13DC8A1F5BB}"/>
    <cellStyle name="Diseño 2 12" xfId="300" xr:uid="{00000000-0005-0000-0000-00002B010000}"/>
    <cellStyle name="Diseño 2 12 2" xfId="4557" xr:uid="{23805DBD-7C42-43F5-B918-38AA66C4D716}"/>
    <cellStyle name="Diseño 2 12 3" xfId="2483" xr:uid="{A2026165-2950-4415-B8DC-E31EA18FDB69}"/>
    <cellStyle name="Diseño 2 13" xfId="301" xr:uid="{00000000-0005-0000-0000-00002C010000}"/>
    <cellStyle name="Diseño 2 13 2" xfId="4558" xr:uid="{54398245-1198-439D-BBAB-ABE62E5721FD}"/>
    <cellStyle name="Diseño 2 13 3" xfId="2484" xr:uid="{77132DF7-E276-4210-AA38-16EAC361705F}"/>
    <cellStyle name="Diseño 2 14" xfId="302" xr:uid="{00000000-0005-0000-0000-00002D010000}"/>
    <cellStyle name="Diseño 2 14 2" xfId="4559" xr:uid="{EA8F021F-6062-4B7E-AAD5-CB7BC2B16874}"/>
    <cellStyle name="Diseño 2 14 3" xfId="2485" xr:uid="{893A4E16-9FDD-46B3-8735-465173614A1E}"/>
    <cellStyle name="Diseño 2 15" xfId="303" xr:uid="{00000000-0005-0000-0000-00002E010000}"/>
    <cellStyle name="Diseño 2 15 2" xfId="4560" xr:uid="{70B772C2-DFE0-4668-87AA-E88B4B32C627}"/>
    <cellStyle name="Diseño 2 15 3" xfId="2486" xr:uid="{20699FF0-14AE-4887-B9B6-12F82E84B879}"/>
    <cellStyle name="Diseño 2 16" xfId="304" xr:uid="{00000000-0005-0000-0000-00002F010000}"/>
    <cellStyle name="Diseño 2 16 2" xfId="4561" xr:uid="{DEA4FA4D-5A18-4752-AAB2-4A75BF4D39DB}"/>
    <cellStyle name="Diseño 2 16 3" xfId="2487" xr:uid="{712A8E23-81A7-4F12-B34C-4E3A385ABF8C}"/>
    <cellStyle name="Diseño 2 17" xfId="305" xr:uid="{00000000-0005-0000-0000-000030010000}"/>
    <cellStyle name="Diseño 2 17 2" xfId="4562" xr:uid="{3C490D6F-ABA2-4DF3-8118-DFB3318D0BE0}"/>
    <cellStyle name="Diseño 2 17 3" xfId="2488" xr:uid="{4495966C-1AE5-4E41-9E1D-71544C282C7A}"/>
    <cellStyle name="Diseño 2 18" xfId="306" xr:uid="{00000000-0005-0000-0000-000031010000}"/>
    <cellStyle name="Diseño 2 18 2" xfId="4563" xr:uid="{CE44986E-5EE2-444E-95CF-41B0959A9634}"/>
    <cellStyle name="Diseño 2 18 3" xfId="2489" xr:uid="{A4CCCC1A-F78E-4566-8257-A7C54D81DEB0}"/>
    <cellStyle name="Diseño 2 19" xfId="307" xr:uid="{00000000-0005-0000-0000-000032010000}"/>
    <cellStyle name="Diseño 2 19 2" xfId="4564" xr:uid="{E694932E-C359-4C3F-B0E4-5BB0524DFD15}"/>
    <cellStyle name="Diseño 2 19 3" xfId="2490" xr:uid="{A082F35E-8F2B-41FB-8668-0D7F9F8BB307}"/>
    <cellStyle name="Diseño 2 2" xfId="308" xr:uid="{00000000-0005-0000-0000-000033010000}"/>
    <cellStyle name="Diseño 2 2 2" xfId="4565" xr:uid="{AA204531-17A5-4C91-A2BA-B8BA8EABAA56}"/>
    <cellStyle name="Diseño 2 2 3" xfId="2491" xr:uid="{3C3EE7CC-1875-4BCD-8685-22D14CBABC5E}"/>
    <cellStyle name="Diseño 2 20" xfId="309" xr:uid="{00000000-0005-0000-0000-000034010000}"/>
    <cellStyle name="Diseño 2 20 2" xfId="4566" xr:uid="{E95FA966-E03E-434F-BA1B-DBBB6EE8ABC7}"/>
    <cellStyle name="Diseño 2 20 3" xfId="2492" xr:uid="{6C196910-5934-4484-9D28-D05EA4AA7BA1}"/>
    <cellStyle name="Diseño 2 21" xfId="310" xr:uid="{00000000-0005-0000-0000-000035010000}"/>
    <cellStyle name="Diseño 2 21 2" xfId="4567" xr:uid="{3E2AAD93-1900-4CB0-9D96-00116CB13892}"/>
    <cellStyle name="Diseño 2 21 3" xfId="2493" xr:uid="{D2A96317-B8C4-46D6-BAF3-0F6A8CFB6374}"/>
    <cellStyle name="Diseño 2 22" xfId="311" xr:uid="{00000000-0005-0000-0000-000036010000}"/>
    <cellStyle name="Diseño 2 22 2" xfId="4568" xr:uid="{C71513D4-F191-4E48-8DAC-B6CA26358F0A}"/>
    <cellStyle name="Diseño 2 22 3" xfId="2494" xr:uid="{BEE04162-0FD2-4228-B711-20B384082702}"/>
    <cellStyle name="Diseño 2 23" xfId="312" xr:uid="{00000000-0005-0000-0000-000037010000}"/>
    <cellStyle name="Diseño 2 23 2" xfId="4569" xr:uid="{F651D182-3CEF-4239-9852-EEC5A4CF439F}"/>
    <cellStyle name="Diseño 2 23 3" xfId="2495" xr:uid="{C89C82DD-976A-4D00-A444-08EB3FE2FB13}"/>
    <cellStyle name="Diseño 2 24" xfId="313" xr:uid="{00000000-0005-0000-0000-000038010000}"/>
    <cellStyle name="Diseño 2 24 2" xfId="4570" xr:uid="{C6F25797-13A5-4447-84D1-4801E3994258}"/>
    <cellStyle name="Diseño 2 24 3" xfId="2496" xr:uid="{79B6B31C-89C9-4B4B-B692-264DDEF8D137}"/>
    <cellStyle name="Diseño 2 25" xfId="314" xr:uid="{00000000-0005-0000-0000-000039010000}"/>
    <cellStyle name="Diseño 2 25 2" xfId="4571" xr:uid="{25211CB5-3721-4185-BBE6-C01F59000345}"/>
    <cellStyle name="Diseño 2 25 3" xfId="2497" xr:uid="{63A2F1CD-012C-4CCE-A645-D2A978717075}"/>
    <cellStyle name="Diseño 2 26" xfId="315" xr:uid="{00000000-0005-0000-0000-00003A010000}"/>
    <cellStyle name="Diseño 2 26 2" xfId="4572" xr:uid="{6952AEEB-B209-4EBB-A302-9FF9CB51782A}"/>
    <cellStyle name="Diseño 2 26 3" xfId="2498" xr:uid="{4F0A7DD5-9A3A-45F2-9A29-10E2FB635067}"/>
    <cellStyle name="Diseño 2 27" xfId="316" xr:uid="{00000000-0005-0000-0000-00003B010000}"/>
    <cellStyle name="Diseño 2 27 2" xfId="4573" xr:uid="{D5A1B191-6F91-494B-A1EC-FEB60E37E1E6}"/>
    <cellStyle name="Diseño 2 27 3" xfId="2499" xr:uid="{2D67EA6C-77FC-4971-BC1B-8ACD9181E926}"/>
    <cellStyle name="Diseño 2 28" xfId="317" xr:uid="{00000000-0005-0000-0000-00003C010000}"/>
    <cellStyle name="Diseño 2 28 2" xfId="4574" xr:uid="{48D18567-39EB-42B1-B6F1-5B338FAC283A}"/>
    <cellStyle name="Diseño 2 28 3" xfId="2500" xr:uid="{8A06104B-93AC-4196-BF86-47B78F34B652}"/>
    <cellStyle name="Diseño 2 29" xfId="318" xr:uid="{00000000-0005-0000-0000-00003D010000}"/>
    <cellStyle name="Diseño 2 29 2" xfId="4575" xr:uid="{7D179A69-A677-4935-8C69-AD443128C855}"/>
    <cellStyle name="Diseño 2 29 3" xfId="2501" xr:uid="{6A6ED578-8E04-4A03-B920-CE13A52B16A4}"/>
    <cellStyle name="Diseño 2 3" xfId="319" xr:uid="{00000000-0005-0000-0000-00003E010000}"/>
    <cellStyle name="Diseño 2 3 2" xfId="4576" xr:uid="{F0CCBF3C-E3BF-4886-927A-3F5D4A7C9A21}"/>
    <cellStyle name="Diseño 2 3 3" xfId="2502" xr:uid="{0C631B39-C8DD-49A5-9D47-145E64782709}"/>
    <cellStyle name="Diseño 2 30" xfId="4554" xr:uid="{BC55C600-77D9-4D13-9794-532472ADE38C}"/>
    <cellStyle name="Diseño 2 31" xfId="2480" xr:uid="{F4398DE1-42C0-4D44-BD33-8868B4522618}"/>
    <cellStyle name="Diseño 2 4" xfId="320" xr:uid="{00000000-0005-0000-0000-00003F010000}"/>
    <cellStyle name="Diseño 2 4 2" xfId="4577" xr:uid="{D4D74319-D9EB-4A88-8AE2-025B99677FD4}"/>
    <cellStyle name="Diseño 2 4 3" xfId="2503" xr:uid="{B717328E-42CE-4304-982E-34A23966AC27}"/>
    <cellStyle name="Diseño 2 5" xfId="321" xr:uid="{00000000-0005-0000-0000-000040010000}"/>
    <cellStyle name="Diseño 2 5 2" xfId="4578" xr:uid="{3D6A954F-69D4-4C4F-ABC8-BA7C79476A3A}"/>
    <cellStyle name="Diseño 2 5 3" xfId="2504" xr:uid="{6D449CBE-5D3D-4F61-A53C-B2A378893AC6}"/>
    <cellStyle name="Diseño 2 6" xfId="322" xr:uid="{00000000-0005-0000-0000-000041010000}"/>
    <cellStyle name="Diseño 2 6 2" xfId="4579" xr:uid="{900A17D0-B13F-415C-9CB3-A6C7D4C5FB28}"/>
    <cellStyle name="Diseño 2 6 3" xfId="2505" xr:uid="{A3CC7092-70FB-4524-9662-968DD6F709B8}"/>
    <cellStyle name="Diseño 2 7" xfId="323" xr:uid="{00000000-0005-0000-0000-000042010000}"/>
    <cellStyle name="Diseño 2 7 2" xfId="4580" xr:uid="{B65FC29D-BD9E-44EC-B76D-EDCA3BAA81F1}"/>
    <cellStyle name="Diseño 2 7 3" xfId="2506" xr:uid="{02DCC133-9505-4AF9-9120-6D44745CD63C}"/>
    <cellStyle name="Diseño 2 8" xfId="324" xr:uid="{00000000-0005-0000-0000-000043010000}"/>
    <cellStyle name="Diseño 2 8 2" xfId="4581" xr:uid="{8E6FC882-0FF3-4646-A663-62A33C9A7538}"/>
    <cellStyle name="Diseño 2 8 3" xfId="2507" xr:uid="{4A45E1C7-D0BF-45D7-95F5-67A19CE53D85}"/>
    <cellStyle name="Diseño 2 9" xfId="325" xr:uid="{00000000-0005-0000-0000-000044010000}"/>
    <cellStyle name="Diseño 2 9 2" xfId="4582" xr:uid="{40D0DA46-5942-4FD1-B4EA-4064F8FEF276}"/>
    <cellStyle name="Diseño 2 9 3" xfId="2508" xr:uid="{8C12C643-26CE-4288-B454-9CD989F036C5}"/>
    <cellStyle name="Diseño 3" xfId="326" xr:uid="{00000000-0005-0000-0000-000045010000}"/>
    <cellStyle name="Diseño 3 10" xfId="327" xr:uid="{00000000-0005-0000-0000-000046010000}"/>
    <cellStyle name="Diseño 3 10 2" xfId="4584" xr:uid="{4BFEDE00-CB9A-431E-8064-19AD715745B8}"/>
    <cellStyle name="Diseño 3 10 3" xfId="2510" xr:uid="{87417550-812E-467C-B386-8BEDA043BEF3}"/>
    <cellStyle name="Diseño 3 11" xfId="328" xr:uid="{00000000-0005-0000-0000-000047010000}"/>
    <cellStyle name="Diseño 3 11 2" xfId="4585" xr:uid="{D127B676-7545-47A6-8F51-9AB3D0FE0091}"/>
    <cellStyle name="Diseño 3 11 3" xfId="2511" xr:uid="{E9B15AE0-9FB5-47BC-88BE-85422596C034}"/>
    <cellStyle name="Diseño 3 12" xfId="329" xr:uid="{00000000-0005-0000-0000-000048010000}"/>
    <cellStyle name="Diseño 3 12 2" xfId="4586" xr:uid="{3E00E22F-1D1C-4132-8E91-71012BED45D0}"/>
    <cellStyle name="Diseño 3 12 3" xfId="2512" xr:uid="{85D7DF55-131E-4691-93ED-10B830CC6A64}"/>
    <cellStyle name="Diseño 3 13" xfId="330" xr:uid="{00000000-0005-0000-0000-000049010000}"/>
    <cellStyle name="Diseño 3 13 2" xfId="4587" xr:uid="{66F7E1AB-D3AC-4263-8FD9-A49892079381}"/>
    <cellStyle name="Diseño 3 13 3" xfId="2513" xr:uid="{ED5C7262-3692-4B27-A0CD-494127849111}"/>
    <cellStyle name="Diseño 3 14" xfId="331" xr:uid="{00000000-0005-0000-0000-00004A010000}"/>
    <cellStyle name="Diseño 3 14 2" xfId="4588" xr:uid="{0051B1F3-21A1-4E69-86D3-97C4A5A1E70B}"/>
    <cellStyle name="Diseño 3 14 3" xfId="2514" xr:uid="{FB1B8772-5644-4485-B23D-37D14E34A045}"/>
    <cellStyle name="Diseño 3 15" xfId="332" xr:uid="{00000000-0005-0000-0000-00004B010000}"/>
    <cellStyle name="Diseño 3 15 2" xfId="4589" xr:uid="{2E3F5B4F-B390-4B77-9B02-B1D0842483D9}"/>
    <cellStyle name="Diseño 3 15 3" xfId="2515" xr:uid="{EDB7EF6E-8FFA-4655-85C4-0A5836DE8DE5}"/>
    <cellStyle name="Diseño 3 16" xfId="333" xr:uid="{00000000-0005-0000-0000-00004C010000}"/>
    <cellStyle name="Diseño 3 16 2" xfId="4590" xr:uid="{455F2858-0400-49AA-A97A-43537CFBA075}"/>
    <cellStyle name="Diseño 3 16 3" xfId="2516" xr:uid="{21A19E37-A96A-4FA9-A6D9-B25A93AD0F8A}"/>
    <cellStyle name="Diseño 3 17" xfId="334" xr:uid="{00000000-0005-0000-0000-00004D010000}"/>
    <cellStyle name="Diseño 3 17 2" xfId="4591" xr:uid="{56F6A3AE-399A-4E3D-B279-EBC058903A22}"/>
    <cellStyle name="Diseño 3 17 3" xfId="2517" xr:uid="{40E5D690-B1B0-4471-918A-5948C7FDD07C}"/>
    <cellStyle name="Diseño 3 18" xfId="335" xr:uid="{00000000-0005-0000-0000-00004E010000}"/>
    <cellStyle name="Diseño 3 18 2" xfId="4592" xr:uid="{93F330E6-574B-4F38-9B67-A94C9DE5323F}"/>
    <cellStyle name="Diseño 3 18 3" xfId="2518" xr:uid="{D9EA577A-056B-4D61-B07C-2A67490FA851}"/>
    <cellStyle name="Diseño 3 19" xfId="336" xr:uid="{00000000-0005-0000-0000-00004F010000}"/>
    <cellStyle name="Diseño 3 19 2" xfId="4593" xr:uid="{4F77797C-0FCD-4618-AFDA-886C9784A6F7}"/>
    <cellStyle name="Diseño 3 19 3" xfId="2519" xr:uid="{AEA43B2F-F571-443B-A600-20D166B51F30}"/>
    <cellStyle name="Diseño 3 2" xfId="337" xr:uid="{00000000-0005-0000-0000-000050010000}"/>
    <cellStyle name="Diseño 3 2 2" xfId="4594" xr:uid="{5C0C4F2E-EB01-4A5F-A7B1-CD91FFE842BA}"/>
    <cellStyle name="Diseño 3 2 3" xfId="2520" xr:uid="{3E1C17E4-2605-48F8-B71B-F75EEC205294}"/>
    <cellStyle name="Diseño 3 20" xfId="338" xr:uid="{00000000-0005-0000-0000-000051010000}"/>
    <cellStyle name="Diseño 3 20 2" xfId="4595" xr:uid="{81E7B0B6-E2A9-4132-A7F4-8CD67C087DEB}"/>
    <cellStyle name="Diseño 3 20 3" xfId="2521" xr:uid="{1C3CA791-2F77-4DCB-85E7-EE54D88B8ED9}"/>
    <cellStyle name="Diseño 3 21" xfId="339" xr:uid="{00000000-0005-0000-0000-000052010000}"/>
    <cellStyle name="Diseño 3 21 2" xfId="4596" xr:uid="{2E7B81D1-B196-47BF-8C77-311D29E80832}"/>
    <cellStyle name="Diseño 3 21 3" xfId="2522" xr:uid="{F38A4714-7EC7-4F66-821C-3C0D9156CD41}"/>
    <cellStyle name="Diseño 3 22" xfId="340" xr:uid="{00000000-0005-0000-0000-000053010000}"/>
    <cellStyle name="Diseño 3 22 2" xfId="4597" xr:uid="{EA076CFB-CB81-48F4-A9AD-E6CBF40242F2}"/>
    <cellStyle name="Diseño 3 22 3" xfId="2523" xr:uid="{BB645FE0-8027-4C36-A8DD-448CB87B14E5}"/>
    <cellStyle name="Diseño 3 23" xfId="341" xr:uid="{00000000-0005-0000-0000-000054010000}"/>
    <cellStyle name="Diseño 3 23 2" xfId="4598" xr:uid="{03F2204A-008C-446F-B938-EE76B07C7EE0}"/>
    <cellStyle name="Diseño 3 23 3" xfId="2524" xr:uid="{23FD41AF-0131-4FDB-9CA4-75EF8D21B9F0}"/>
    <cellStyle name="Diseño 3 24" xfId="342" xr:uid="{00000000-0005-0000-0000-000055010000}"/>
    <cellStyle name="Diseño 3 24 2" xfId="4599" xr:uid="{2BDE83CA-4A45-437B-9480-2DC0FF14F8C9}"/>
    <cellStyle name="Diseño 3 24 3" xfId="2525" xr:uid="{A026C3E3-421C-43CB-A615-E44BC13365A5}"/>
    <cellStyle name="Diseño 3 25" xfId="343" xr:uid="{00000000-0005-0000-0000-000056010000}"/>
    <cellStyle name="Diseño 3 25 2" xfId="4600" xr:uid="{83AD0F59-D8D4-4B5B-B0E9-8DF6AD72F816}"/>
    <cellStyle name="Diseño 3 25 3" xfId="2526" xr:uid="{6A128F69-46ED-4BCE-8A51-F5ACB63ABE1E}"/>
    <cellStyle name="Diseño 3 26" xfId="344" xr:uid="{00000000-0005-0000-0000-000057010000}"/>
    <cellStyle name="Diseño 3 26 2" xfId="4601" xr:uid="{3F46BCC0-3AB6-454D-A559-E9D217E8D257}"/>
    <cellStyle name="Diseño 3 26 3" xfId="2527" xr:uid="{AB8D9D76-B5C7-44CE-8D37-90F866A43606}"/>
    <cellStyle name="Diseño 3 27" xfId="345" xr:uid="{00000000-0005-0000-0000-000058010000}"/>
    <cellStyle name="Diseño 3 27 2" xfId="4602" xr:uid="{2AA88900-CD88-4C9B-B950-1409D5857ACA}"/>
    <cellStyle name="Diseño 3 27 3" xfId="2528" xr:uid="{9DEC8755-CFA3-4115-BA59-8EC389C2E4B6}"/>
    <cellStyle name="Diseño 3 28" xfId="346" xr:uid="{00000000-0005-0000-0000-000059010000}"/>
    <cellStyle name="Diseño 3 28 2" xfId="4603" xr:uid="{D6FFA773-CF71-419A-8922-C931803E9920}"/>
    <cellStyle name="Diseño 3 28 3" xfId="2529" xr:uid="{C7BF7F6F-BC3F-49A8-AC07-34F78E89EF63}"/>
    <cellStyle name="Diseño 3 29" xfId="347" xr:uid="{00000000-0005-0000-0000-00005A010000}"/>
    <cellStyle name="Diseño 3 29 2" xfId="4604" xr:uid="{EA5B9041-21D7-4750-85EB-A295044A7043}"/>
    <cellStyle name="Diseño 3 29 3" xfId="2530" xr:uid="{8FA35E48-E17B-4A8A-A943-61AAD1A2D239}"/>
    <cellStyle name="Diseño 3 3" xfId="348" xr:uid="{00000000-0005-0000-0000-00005B010000}"/>
    <cellStyle name="Diseño 3 3 2" xfId="4605" xr:uid="{E1CA00E9-74BA-4E2A-B780-5A72D567732E}"/>
    <cellStyle name="Diseño 3 3 3" xfId="2531" xr:uid="{ABBC845B-3798-4674-A19C-4FB306270363}"/>
    <cellStyle name="Diseño 3 30" xfId="4583" xr:uid="{C61CC179-8037-46E4-A97B-BD43844F12AB}"/>
    <cellStyle name="Diseño 3 31" xfId="2509" xr:uid="{529D61B5-6A6F-45B8-B6BB-0B3EBC56B07B}"/>
    <cellStyle name="Diseño 3 4" xfId="349" xr:uid="{00000000-0005-0000-0000-00005C010000}"/>
    <cellStyle name="Diseño 3 4 2" xfId="4606" xr:uid="{DC63BA64-D5DF-417F-9B58-58B757EBFAAD}"/>
    <cellStyle name="Diseño 3 4 3" xfId="2532" xr:uid="{E7D0BCF2-909C-4974-A866-DC737FB2D524}"/>
    <cellStyle name="Diseño 3 5" xfId="350" xr:uid="{00000000-0005-0000-0000-00005D010000}"/>
    <cellStyle name="Diseño 3 5 2" xfId="4607" xr:uid="{B422CAB3-A401-4212-ADF1-C82DC5F8B0D5}"/>
    <cellStyle name="Diseño 3 5 3" xfId="2533" xr:uid="{E780A446-CF0F-47A9-8D81-4C7EA7DB6EC5}"/>
    <cellStyle name="Diseño 3 6" xfId="351" xr:uid="{00000000-0005-0000-0000-00005E010000}"/>
    <cellStyle name="Diseño 3 6 2" xfId="4608" xr:uid="{31FC7CB6-68AB-4DCA-AD52-3CE774F6A78D}"/>
    <cellStyle name="Diseño 3 6 3" xfId="2534" xr:uid="{BF1C6C29-FE44-4AD5-B98F-9986230BAFAF}"/>
    <cellStyle name="Diseño 3 7" xfId="352" xr:uid="{00000000-0005-0000-0000-00005F010000}"/>
    <cellStyle name="Diseño 3 7 2" xfId="4609" xr:uid="{EC24E48E-6115-4D31-B7F6-10D774426DC9}"/>
    <cellStyle name="Diseño 3 7 3" xfId="2535" xr:uid="{5641DECF-23BA-4905-8F06-7E1300120CA3}"/>
    <cellStyle name="Diseño 3 8" xfId="353" xr:uid="{00000000-0005-0000-0000-000060010000}"/>
    <cellStyle name="Diseño 3 8 2" xfId="4610" xr:uid="{C28EBC1F-2D16-4D37-ADBE-EF4831372946}"/>
    <cellStyle name="Diseño 3 8 3" xfId="2536" xr:uid="{49607897-B4FC-4F09-A9C4-F6EF0FB3FE3D}"/>
    <cellStyle name="Diseño 3 9" xfId="354" xr:uid="{00000000-0005-0000-0000-000061010000}"/>
    <cellStyle name="Diseño 3 9 2" xfId="4611" xr:uid="{EE9006F2-9D18-444B-BC95-C527E1CB6AAE}"/>
    <cellStyle name="Diseño 3 9 3" xfId="2537" xr:uid="{AAF3658C-F2B3-4793-8B46-469F41EAFAD3}"/>
    <cellStyle name="Diseño 4" xfId="355" xr:uid="{00000000-0005-0000-0000-000062010000}"/>
    <cellStyle name="Diseño 4 10" xfId="356" xr:uid="{00000000-0005-0000-0000-000063010000}"/>
    <cellStyle name="Diseño 4 10 2" xfId="4613" xr:uid="{4C3E055A-F42E-493A-AAB5-3E92D146DC20}"/>
    <cellStyle name="Diseño 4 10 3" xfId="2539" xr:uid="{A3F7F949-4C8D-4606-9E3A-0D3E07633B37}"/>
    <cellStyle name="Diseño 4 11" xfId="357" xr:uid="{00000000-0005-0000-0000-000064010000}"/>
    <cellStyle name="Diseño 4 11 2" xfId="4614" xr:uid="{E9F2F88A-C5BB-4930-B734-42DFE4B70582}"/>
    <cellStyle name="Diseño 4 11 3" xfId="2540" xr:uid="{65546676-3AAE-4556-90F8-D85D76BF98AF}"/>
    <cellStyle name="Diseño 4 12" xfId="358" xr:uid="{00000000-0005-0000-0000-000065010000}"/>
    <cellStyle name="Diseño 4 12 2" xfId="4615" xr:uid="{15132477-7AEA-42BC-B5D4-830A803580DB}"/>
    <cellStyle name="Diseño 4 12 3" xfId="2541" xr:uid="{894C4E44-6644-48CF-A5B7-4E4230BAFA20}"/>
    <cellStyle name="Diseño 4 13" xfId="359" xr:uid="{00000000-0005-0000-0000-000066010000}"/>
    <cellStyle name="Diseño 4 13 2" xfId="4616" xr:uid="{2095F62C-9887-46BB-86CD-2FE325AE61B6}"/>
    <cellStyle name="Diseño 4 13 3" xfId="2542" xr:uid="{8A557C16-80C1-4FA0-BB48-295EA54E1324}"/>
    <cellStyle name="Diseño 4 14" xfId="360" xr:uid="{00000000-0005-0000-0000-000067010000}"/>
    <cellStyle name="Diseño 4 14 2" xfId="4617" xr:uid="{31BF28B0-F666-4C3D-822B-A877531B1F30}"/>
    <cellStyle name="Diseño 4 14 3" xfId="2543" xr:uid="{3721F52A-1883-4769-9607-D13A24BAD425}"/>
    <cellStyle name="Diseño 4 15" xfId="361" xr:uid="{00000000-0005-0000-0000-000068010000}"/>
    <cellStyle name="Diseño 4 15 2" xfId="4618" xr:uid="{5A21153F-1EFF-433E-8B71-5A6E1CF10DFA}"/>
    <cellStyle name="Diseño 4 15 3" xfId="2544" xr:uid="{5BEDC70D-40D1-4831-BFD8-B12B78318FAD}"/>
    <cellStyle name="Diseño 4 16" xfId="362" xr:uid="{00000000-0005-0000-0000-000069010000}"/>
    <cellStyle name="Diseño 4 16 2" xfId="4619" xr:uid="{1BF0FFA4-4693-4CE7-B1D1-66DE608478FE}"/>
    <cellStyle name="Diseño 4 16 3" xfId="2545" xr:uid="{B12AD251-C513-4523-8B27-BB8C4FC48AFE}"/>
    <cellStyle name="Diseño 4 17" xfId="363" xr:uid="{00000000-0005-0000-0000-00006A010000}"/>
    <cellStyle name="Diseño 4 17 2" xfId="4620" xr:uid="{9E0ABA54-9F86-4679-B133-CA51AD954F0E}"/>
    <cellStyle name="Diseño 4 17 3" xfId="2546" xr:uid="{543F24D5-15C1-411A-8AE5-B3784FE488C7}"/>
    <cellStyle name="Diseño 4 18" xfId="364" xr:uid="{00000000-0005-0000-0000-00006B010000}"/>
    <cellStyle name="Diseño 4 18 2" xfId="4621" xr:uid="{129247C3-9C38-4DD3-B517-A33DC6E4E7F0}"/>
    <cellStyle name="Diseño 4 18 3" xfId="2547" xr:uid="{02581093-98FD-469E-8E14-DDF5EC3C889E}"/>
    <cellStyle name="Diseño 4 19" xfId="365" xr:uid="{00000000-0005-0000-0000-00006C010000}"/>
    <cellStyle name="Diseño 4 19 2" xfId="4622" xr:uid="{18B448F4-33F3-44CE-A5CF-BD08DDB91190}"/>
    <cellStyle name="Diseño 4 19 3" xfId="2548" xr:uid="{1B97057E-9FE4-49E2-8BFC-A7BCEDD5DBB2}"/>
    <cellStyle name="Diseño 4 2" xfId="366" xr:uid="{00000000-0005-0000-0000-00006D010000}"/>
    <cellStyle name="Diseño 4 2 2" xfId="4623" xr:uid="{BBD6CF16-C01C-437B-B24A-FA319556AC07}"/>
    <cellStyle name="Diseño 4 2 3" xfId="2549" xr:uid="{46645AFB-08BF-4957-807B-3CD317A83498}"/>
    <cellStyle name="Diseño 4 20" xfId="367" xr:uid="{00000000-0005-0000-0000-00006E010000}"/>
    <cellStyle name="Diseño 4 20 2" xfId="4624" xr:uid="{6AD22A5B-EF8C-4AF7-A05A-8A3F13ABC80B}"/>
    <cellStyle name="Diseño 4 20 3" xfId="2550" xr:uid="{C5374BAD-023F-4D45-AA3C-8314B830B3A8}"/>
    <cellStyle name="Diseño 4 21" xfId="368" xr:uid="{00000000-0005-0000-0000-00006F010000}"/>
    <cellStyle name="Diseño 4 21 2" xfId="4625" xr:uid="{EC5BEDED-E66F-44C5-88AA-ACDA2D650389}"/>
    <cellStyle name="Diseño 4 21 3" xfId="2551" xr:uid="{A0BB5835-F77A-467E-BD43-FBBABC0FCC29}"/>
    <cellStyle name="Diseño 4 22" xfId="369" xr:uid="{00000000-0005-0000-0000-000070010000}"/>
    <cellStyle name="Diseño 4 22 2" xfId="4626" xr:uid="{6BCD3987-5E87-4607-BDC7-01712A9DB3C3}"/>
    <cellStyle name="Diseño 4 22 3" xfId="2552" xr:uid="{A7AFD8BA-D72B-45A9-B012-CA9D83DE31FF}"/>
    <cellStyle name="Diseño 4 23" xfId="370" xr:uid="{00000000-0005-0000-0000-000071010000}"/>
    <cellStyle name="Diseño 4 23 2" xfId="4627" xr:uid="{8121C185-D762-49F4-B151-0B79BA9CC8AC}"/>
    <cellStyle name="Diseño 4 23 3" xfId="2553" xr:uid="{53D49021-1C4E-45DC-8C61-D5CB6944AD2D}"/>
    <cellStyle name="Diseño 4 24" xfId="371" xr:uid="{00000000-0005-0000-0000-000072010000}"/>
    <cellStyle name="Diseño 4 24 2" xfId="4628" xr:uid="{4DA02C5E-4F23-4B4F-82D8-49DA2D3BC1A5}"/>
    <cellStyle name="Diseño 4 24 3" xfId="2554" xr:uid="{C175AADB-F3EE-46FD-960F-E7268A8532DF}"/>
    <cellStyle name="Diseño 4 25" xfId="372" xr:uid="{00000000-0005-0000-0000-000073010000}"/>
    <cellStyle name="Diseño 4 25 2" xfId="4629" xr:uid="{6FF159FA-DC33-4D3D-8B88-B193E650F884}"/>
    <cellStyle name="Diseño 4 25 3" xfId="2555" xr:uid="{44F3C497-9790-4404-98D4-D35074107677}"/>
    <cellStyle name="Diseño 4 26" xfId="373" xr:uid="{00000000-0005-0000-0000-000074010000}"/>
    <cellStyle name="Diseño 4 26 2" xfId="4630" xr:uid="{CF78892F-A93F-4DB8-BF4F-24C1DBAA65ED}"/>
    <cellStyle name="Diseño 4 26 3" xfId="2556" xr:uid="{8B50ACF2-69EF-450F-8AA8-3C1D978B450D}"/>
    <cellStyle name="Diseño 4 27" xfId="374" xr:uid="{00000000-0005-0000-0000-000075010000}"/>
    <cellStyle name="Diseño 4 27 2" xfId="4631" xr:uid="{A7183A35-CE66-4EE9-BE4A-318D529A7807}"/>
    <cellStyle name="Diseño 4 27 3" xfId="2557" xr:uid="{60012902-8963-41AF-B694-9EB544AE8E1A}"/>
    <cellStyle name="Diseño 4 28" xfId="375" xr:uid="{00000000-0005-0000-0000-000076010000}"/>
    <cellStyle name="Diseño 4 28 2" xfId="4632" xr:uid="{18539671-BF6F-4456-9967-A4FBA67F8DBD}"/>
    <cellStyle name="Diseño 4 28 3" xfId="2558" xr:uid="{3C6B9D41-438F-4B65-ACED-EB1529ACFA28}"/>
    <cellStyle name="Diseño 4 29" xfId="376" xr:uid="{00000000-0005-0000-0000-000077010000}"/>
    <cellStyle name="Diseño 4 29 2" xfId="4633" xr:uid="{655E5CC2-0D5B-4110-A0BD-B5906CDB79F0}"/>
    <cellStyle name="Diseño 4 29 3" xfId="2559" xr:uid="{6F0C8D79-49DF-4B87-AF96-B27CBC02F89F}"/>
    <cellStyle name="Diseño 4 3" xfId="377" xr:uid="{00000000-0005-0000-0000-000078010000}"/>
    <cellStyle name="Diseño 4 3 2" xfId="4634" xr:uid="{86850ADD-F1FF-4F26-BD7B-0B6D7E0B976E}"/>
    <cellStyle name="Diseño 4 3 3" xfId="2560" xr:uid="{65D87694-8A95-4F52-8CBD-B395B4CE1CCE}"/>
    <cellStyle name="Diseño 4 30" xfId="4612" xr:uid="{E458CBFD-2028-4FD3-9106-FF59DD18590A}"/>
    <cellStyle name="Diseño 4 31" xfId="2538" xr:uid="{AFF1BFA9-8AC1-4FA1-8D12-FF7C93FBDEB1}"/>
    <cellStyle name="Diseño 4 4" xfId="378" xr:uid="{00000000-0005-0000-0000-000079010000}"/>
    <cellStyle name="Diseño 4 4 2" xfId="4635" xr:uid="{4F8FCD76-2AD2-42B0-B6EA-A2ABB4A58C5B}"/>
    <cellStyle name="Diseño 4 4 3" xfId="2561" xr:uid="{1CD13452-DD23-4436-BC18-A23172E300A1}"/>
    <cellStyle name="Diseño 4 5" xfId="379" xr:uid="{00000000-0005-0000-0000-00007A010000}"/>
    <cellStyle name="Diseño 4 5 2" xfId="4636" xr:uid="{DD234FC7-9CDF-45E7-B322-6719F0495B64}"/>
    <cellStyle name="Diseño 4 5 3" xfId="2562" xr:uid="{3D924BD6-844D-4FC1-AE17-DF4C30D4A61F}"/>
    <cellStyle name="Diseño 4 6" xfId="380" xr:uid="{00000000-0005-0000-0000-00007B010000}"/>
    <cellStyle name="Diseño 4 6 2" xfId="4637" xr:uid="{B216CD8C-4D1C-4015-9C69-A31CEA25A57E}"/>
    <cellStyle name="Diseño 4 6 3" xfId="2563" xr:uid="{6C274E90-879D-42DC-80E3-8F4671E5EACE}"/>
    <cellStyle name="Diseño 4 7" xfId="381" xr:uid="{00000000-0005-0000-0000-00007C010000}"/>
    <cellStyle name="Diseño 4 7 2" xfId="4638" xr:uid="{2C03699D-5BF9-424C-9C3E-A73DDA5936E0}"/>
    <cellStyle name="Diseño 4 7 3" xfId="2564" xr:uid="{0CB5223F-8B2D-4564-BB13-5C7E34AD5366}"/>
    <cellStyle name="Diseño 4 8" xfId="382" xr:uid="{00000000-0005-0000-0000-00007D010000}"/>
    <cellStyle name="Diseño 4 8 2" xfId="4639" xr:uid="{C1E39840-EDF5-46F6-9B88-20CCD1800F2B}"/>
    <cellStyle name="Diseño 4 8 3" xfId="2565" xr:uid="{890E3655-7150-45FF-8F8B-47DCD07C3E4C}"/>
    <cellStyle name="Diseño 4 9" xfId="383" xr:uid="{00000000-0005-0000-0000-00007E010000}"/>
    <cellStyle name="Diseño 4 9 2" xfId="4640" xr:uid="{08879CE8-8876-47EA-8788-0DD9330768C8}"/>
    <cellStyle name="Diseño 4 9 3" xfId="2566" xr:uid="{64661BE3-A366-4669-9EA4-60EC7BA5DBB1}"/>
    <cellStyle name="Diseño 5" xfId="384" xr:uid="{00000000-0005-0000-0000-00007F010000}"/>
    <cellStyle name="Diseño 5 10" xfId="385" xr:uid="{00000000-0005-0000-0000-000080010000}"/>
    <cellStyle name="Diseño 5 10 2" xfId="4642" xr:uid="{078FA2DF-958D-4F12-B793-0EDD5A08EF60}"/>
    <cellStyle name="Diseño 5 10 3" xfId="2568" xr:uid="{87DB081E-0569-4E34-8EF0-261E252B87D0}"/>
    <cellStyle name="Diseño 5 11" xfId="386" xr:uid="{00000000-0005-0000-0000-000081010000}"/>
    <cellStyle name="Diseño 5 11 2" xfId="4643" xr:uid="{0C23AED7-A8E1-4459-8D0F-BA8D99A34806}"/>
    <cellStyle name="Diseño 5 11 3" xfId="2569" xr:uid="{FF126B72-3501-4C4D-AB78-B7EB3C8C06F9}"/>
    <cellStyle name="Diseño 5 12" xfId="387" xr:uid="{00000000-0005-0000-0000-000082010000}"/>
    <cellStyle name="Diseño 5 12 2" xfId="4644" xr:uid="{CBBD37E2-45A6-4F1C-8980-8165CCDEAA28}"/>
    <cellStyle name="Diseño 5 12 3" xfId="2570" xr:uid="{FD0FCBDA-306B-4782-B613-7113764800CF}"/>
    <cellStyle name="Diseño 5 13" xfId="388" xr:uid="{00000000-0005-0000-0000-000083010000}"/>
    <cellStyle name="Diseño 5 13 2" xfId="4645" xr:uid="{7FA0A8FF-BDB7-4063-A006-A2B6EA8F5E90}"/>
    <cellStyle name="Diseño 5 13 3" xfId="2571" xr:uid="{87800A97-F37E-4155-891B-36B79171B204}"/>
    <cellStyle name="Diseño 5 14" xfId="389" xr:uid="{00000000-0005-0000-0000-000084010000}"/>
    <cellStyle name="Diseño 5 14 2" xfId="4646" xr:uid="{03BDD423-B0D8-4D57-9C38-F8C734B3E2A6}"/>
    <cellStyle name="Diseño 5 14 3" xfId="2572" xr:uid="{BE86F43D-A41B-475B-9A6D-BFB025F51FCD}"/>
    <cellStyle name="Diseño 5 15" xfId="390" xr:uid="{00000000-0005-0000-0000-000085010000}"/>
    <cellStyle name="Diseño 5 15 2" xfId="4647" xr:uid="{F9001E0F-BEF6-4A61-8730-77ABDBA72393}"/>
    <cellStyle name="Diseño 5 15 3" xfId="2573" xr:uid="{7E386BDE-5814-4417-A63B-6FBF0329CAD3}"/>
    <cellStyle name="Diseño 5 16" xfId="391" xr:uid="{00000000-0005-0000-0000-000086010000}"/>
    <cellStyle name="Diseño 5 16 2" xfId="4648" xr:uid="{26D3FD65-972C-4B63-99B9-53C20EDA24C7}"/>
    <cellStyle name="Diseño 5 16 3" xfId="2574" xr:uid="{4B3686CF-5CDE-43ED-8141-2E32DC4A040D}"/>
    <cellStyle name="Diseño 5 17" xfId="392" xr:uid="{00000000-0005-0000-0000-000087010000}"/>
    <cellStyle name="Diseño 5 17 2" xfId="4649" xr:uid="{DA811BB8-CF43-4267-90E7-0BE30AA04BB0}"/>
    <cellStyle name="Diseño 5 17 3" xfId="2575" xr:uid="{419EE2C3-7025-46F9-85EB-E84CB271285C}"/>
    <cellStyle name="Diseño 5 18" xfId="393" xr:uid="{00000000-0005-0000-0000-000088010000}"/>
    <cellStyle name="Diseño 5 18 2" xfId="4650" xr:uid="{207C95CE-5D9B-4E42-BA08-D9D23DAB1459}"/>
    <cellStyle name="Diseño 5 18 3" xfId="2576" xr:uid="{65F84192-E864-4FD5-BACA-A6F8425642FE}"/>
    <cellStyle name="Diseño 5 19" xfId="394" xr:uid="{00000000-0005-0000-0000-000089010000}"/>
    <cellStyle name="Diseño 5 19 2" xfId="4651" xr:uid="{7EC18347-F643-473B-9AA2-FA49018A1D24}"/>
    <cellStyle name="Diseño 5 19 3" xfId="2577" xr:uid="{8CDD45B8-10B2-415C-A657-C6B29D3B1CEA}"/>
    <cellStyle name="Diseño 5 2" xfId="395" xr:uid="{00000000-0005-0000-0000-00008A010000}"/>
    <cellStyle name="Diseño 5 2 2" xfId="4652" xr:uid="{69CCE1AA-E41F-4E3B-9A1F-8E15B0A67FE7}"/>
    <cellStyle name="Diseño 5 2 3" xfId="2578" xr:uid="{34591B5D-C818-4EA1-B52C-4272C4F90F28}"/>
    <cellStyle name="Diseño 5 20" xfId="396" xr:uid="{00000000-0005-0000-0000-00008B010000}"/>
    <cellStyle name="Diseño 5 20 2" xfId="4653" xr:uid="{2B1B8895-0C97-467C-AE11-F7439DFA0C9C}"/>
    <cellStyle name="Diseño 5 20 3" xfId="2579" xr:uid="{BB96FF30-0B3D-44A5-BBE0-816D79A36E3D}"/>
    <cellStyle name="Diseño 5 21" xfId="397" xr:uid="{00000000-0005-0000-0000-00008C010000}"/>
    <cellStyle name="Diseño 5 21 2" xfId="4654" xr:uid="{E30A46C6-D27E-42C4-A57A-704DA4561EE1}"/>
    <cellStyle name="Diseño 5 21 3" xfId="2580" xr:uid="{214DAE5B-0A62-4AF4-9EC5-9B278792926A}"/>
    <cellStyle name="Diseño 5 22" xfId="398" xr:uid="{00000000-0005-0000-0000-00008D010000}"/>
    <cellStyle name="Diseño 5 22 2" xfId="4655" xr:uid="{DB754DD3-A802-4EFE-9A8F-95C26D6E8BD0}"/>
    <cellStyle name="Diseño 5 22 3" xfId="2581" xr:uid="{0254F66F-26DD-44C0-9521-1965E3323E75}"/>
    <cellStyle name="Diseño 5 23" xfId="399" xr:uid="{00000000-0005-0000-0000-00008E010000}"/>
    <cellStyle name="Diseño 5 23 2" xfId="4656" xr:uid="{446E4471-7279-4864-99A8-C0853EB044B6}"/>
    <cellStyle name="Diseño 5 23 3" xfId="2582" xr:uid="{98CFC758-AA8F-4A35-B4B8-F677700EF83B}"/>
    <cellStyle name="Diseño 5 24" xfId="400" xr:uid="{00000000-0005-0000-0000-00008F010000}"/>
    <cellStyle name="Diseño 5 24 2" xfId="4657" xr:uid="{6DEACA1A-612E-4CC1-9AF6-DC366E6DCDC5}"/>
    <cellStyle name="Diseño 5 24 3" xfId="2583" xr:uid="{3D26A584-3B3E-4CE7-ADA4-4F7FD45D9730}"/>
    <cellStyle name="Diseño 5 25" xfId="401" xr:uid="{00000000-0005-0000-0000-000090010000}"/>
    <cellStyle name="Diseño 5 25 2" xfId="4658" xr:uid="{42E6F3A3-5967-423F-B35E-7040E5B15BB5}"/>
    <cellStyle name="Diseño 5 25 3" xfId="2584" xr:uid="{7CAA32AE-F3D9-48C0-9EB7-8DB5252153B5}"/>
    <cellStyle name="Diseño 5 26" xfId="402" xr:uid="{00000000-0005-0000-0000-000091010000}"/>
    <cellStyle name="Diseño 5 26 2" xfId="4659" xr:uid="{5B597323-69A5-472C-BCE4-664A0E8A3A3B}"/>
    <cellStyle name="Diseño 5 26 3" xfId="2585" xr:uid="{B84E5672-F877-4335-853D-1C443BB26726}"/>
    <cellStyle name="Diseño 5 27" xfId="403" xr:uid="{00000000-0005-0000-0000-000092010000}"/>
    <cellStyle name="Diseño 5 27 2" xfId="4660" xr:uid="{F5899CFF-59CF-4E43-8462-A1452A82F72F}"/>
    <cellStyle name="Diseño 5 27 3" xfId="2586" xr:uid="{269BF4DA-9742-4F23-8577-47AF38064202}"/>
    <cellStyle name="Diseño 5 28" xfId="404" xr:uid="{00000000-0005-0000-0000-000093010000}"/>
    <cellStyle name="Diseño 5 28 2" xfId="4661" xr:uid="{9A7F1BD0-4009-42E1-80F6-202DE67A2FCD}"/>
    <cellStyle name="Diseño 5 28 3" xfId="2587" xr:uid="{63ACE35D-76F1-45FD-B9F2-C779F94049DB}"/>
    <cellStyle name="Diseño 5 29" xfId="405" xr:uid="{00000000-0005-0000-0000-000094010000}"/>
    <cellStyle name="Diseño 5 29 2" xfId="4662" xr:uid="{A0850A51-B6FD-45DA-B09B-A3A8634AB9E8}"/>
    <cellStyle name="Diseño 5 29 3" xfId="2588" xr:uid="{F1FE2697-C16C-4298-AAC2-9016E75446E7}"/>
    <cellStyle name="Diseño 5 3" xfId="406" xr:uid="{00000000-0005-0000-0000-000095010000}"/>
    <cellStyle name="Diseño 5 3 2" xfId="4663" xr:uid="{0350B57E-E844-4F4D-A0A4-475FE8C4C351}"/>
    <cellStyle name="Diseño 5 3 3" xfId="2589" xr:uid="{47E51256-DD99-4FFA-A873-8F6C8F4B59A7}"/>
    <cellStyle name="Diseño 5 30" xfId="4641" xr:uid="{E0BC0197-D4E6-4CB7-828D-C1A165F7A21C}"/>
    <cellStyle name="Diseño 5 31" xfId="2567" xr:uid="{DB62BEB8-876B-44E6-8021-FB5D1E703FBE}"/>
    <cellStyle name="Diseño 5 4" xfId="407" xr:uid="{00000000-0005-0000-0000-000096010000}"/>
    <cellStyle name="Diseño 5 4 2" xfId="4664" xr:uid="{5E561C21-38D8-4D4C-A795-90F0420B6137}"/>
    <cellStyle name="Diseño 5 4 3" xfId="2590" xr:uid="{B1FA150D-CE5A-4695-926A-9CBB3390E863}"/>
    <cellStyle name="Diseño 5 5" xfId="408" xr:uid="{00000000-0005-0000-0000-000097010000}"/>
    <cellStyle name="Diseño 5 5 2" xfId="4665" xr:uid="{0C0CAD82-CF03-4294-B638-608A069B1584}"/>
    <cellStyle name="Diseño 5 5 3" xfId="2591" xr:uid="{B8493EBB-7933-485A-9F11-FE467FDE38E3}"/>
    <cellStyle name="Diseño 5 6" xfId="409" xr:uid="{00000000-0005-0000-0000-000098010000}"/>
    <cellStyle name="Diseño 5 6 2" xfId="4666" xr:uid="{8291238F-C03E-4BE2-9B7E-57CA428F10FC}"/>
    <cellStyle name="Diseño 5 6 3" xfId="2592" xr:uid="{87534357-DA91-4DC6-AF97-6BC967D6DA19}"/>
    <cellStyle name="Diseño 5 7" xfId="410" xr:uid="{00000000-0005-0000-0000-000099010000}"/>
    <cellStyle name="Diseño 5 7 2" xfId="4667" xr:uid="{C46CB7FC-EFA2-4CF5-A2DF-2B763224D507}"/>
    <cellStyle name="Diseño 5 7 3" xfId="2593" xr:uid="{1C8F9DB7-112F-48C0-8DD1-FD617657BC32}"/>
    <cellStyle name="Diseño 5 8" xfId="411" xr:uid="{00000000-0005-0000-0000-00009A010000}"/>
    <cellStyle name="Diseño 5 8 2" xfId="4668" xr:uid="{B240A2AD-6335-4956-8BA0-B547F13677FF}"/>
    <cellStyle name="Diseño 5 8 3" xfId="2594" xr:uid="{239B063D-CCEF-4C73-809C-51AEA482A3ED}"/>
    <cellStyle name="Diseño 5 9" xfId="412" xr:uid="{00000000-0005-0000-0000-00009B010000}"/>
    <cellStyle name="Diseño 5 9 2" xfId="4669" xr:uid="{B5F61804-DCA6-443D-AC51-09DF48EBAEDD}"/>
    <cellStyle name="Diseño 5 9 3" xfId="2595" xr:uid="{C902C2AB-D4E0-43E3-AAF6-EC538469B123}"/>
    <cellStyle name="Diseño 6" xfId="413" xr:uid="{00000000-0005-0000-0000-00009C010000}"/>
    <cellStyle name="Diseño 6 10" xfId="414" xr:uid="{00000000-0005-0000-0000-00009D010000}"/>
    <cellStyle name="Diseño 6 10 2" xfId="4671" xr:uid="{E22C637F-0624-4BB8-8B59-483BF4126655}"/>
    <cellStyle name="Diseño 6 10 3" xfId="2597" xr:uid="{A571F1C5-1B4C-42D9-A609-150DBA359E40}"/>
    <cellStyle name="Diseño 6 11" xfId="415" xr:uid="{00000000-0005-0000-0000-00009E010000}"/>
    <cellStyle name="Diseño 6 11 2" xfId="4672" xr:uid="{BFEE7DB3-B102-4F99-94C8-F630B35D7DF6}"/>
    <cellStyle name="Diseño 6 11 3" xfId="2598" xr:uid="{69A5FEB2-8C2E-4B5C-BCCC-34C73686F88F}"/>
    <cellStyle name="Diseño 6 12" xfId="416" xr:uid="{00000000-0005-0000-0000-00009F010000}"/>
    <cellStyle name="Diseño 6 12 2" xfId="4673" xr:uid="{2C9DA837-BC1C-4B20-AC87-6816DF28BB5E}"/>
    <cellStyle name="Diseño 6 12 3" xfId="2599" xr:uid="{D6454B83-A3C9-4A1C-849E-5A606A33E0FF}"/>
    <cellStyle name="Diseño 6 13" xfId="417" xr:uid="{00000000-0005-0000-0000-0000A0010000}"/>
    <cellStyle name="Diseño 6 13 2" xfId="4674" xr:uid="{13F2D7DE-F0F4-4513-9B8F-948CF2513B33}"/>
    <cellStyle name="Diseño 6 13 3" xfId="2600" xr:uid="{CB9313A9-FDFC-423A-9026-19B5463514DC}"/>
    <cellStyle name="Diseño 6 14" xfId="418" xr:uid="{00000000-0005-0000-0000-0000A1010000}"/>
    <cellStyle name="Diseño 6 14 2" xfId="4675" xr:uid="{559D7B91-7043-4564-BAC0-A5C95F121D77}"/>
    <cellStyle name="Diseño 6 14 3" xfId="2601" xr:uid="{9E717594-B4A1-4AC2-8EF5-7170074663CD}"/>
    <cellStyle name="Diseño 6 15" xfId="419" xr:uid="{00000000-0005-0000-0000-0000A2010000}"/>
    <cellStyle name="Diseño 6 15 2" xfId="4676" xr:uid="{EDD34256-64F1-43B8-A6DB-B79FEA930C73}"/>
    <cellStyle name="Diseño 6 15 3" xfId="2602" xr:uid="{52D61BF5-EDA9-4B36-921F-501F8C249D28}"/>
    <cellStyle name="Diseño 6 16" xfId="420" xr:uid="{00000000-0005-0000-0000-0000A3010000}"/>
    <cellStyle name="Diseño 6 16 2" xfId="4677" xr:uid="{85C76487-939C-447E-88E8-0F70636A4682}"/>
    <cellStyle name="Diseño 6 16 3" xfId="2603" xr:uid="{A0F9B9DE-9283-4018-92BE-67BC18FB6A4D}"/>
    <cellStyle name="Diseño 6 17" xfId="421" xr:uid="{00000000-0005-0000-0000-0000A4010000}"/>
    <cellStyle name="Diseño 6 17 2" xfId="4678" xr:uid="{382F6CA5-9DEE-409A-845A-2F047B432DE6}"/>
    <cellStyle name="Diseño 6 17 3" xfId="2604" xr:uid="{51BFE9E5-B625-45F5-B5B9-C65E048BC475}"/>
    <cellStyle name="Diseño 6 18" xfId="422" xr:uid="{00000000-0005-0000-0000-0000A5010000}"/>
    <cellStyle name="Diseño 6 18 2" xfId="4679" xr:uid="{513B3FE6-DE82-4F92-B26E-D71EEB4F8855}"/>
    <cellStyle name="Diseño 6 18 3" xfId="2605" xr:uid="{5960DF7B-DDB3-4F51-A044-9E6D60F3CBB1}"/>
    <cellStyle name="Diseño 6 19" xfId="423" xr:uid="{00000000-0005-0000-0000-0000A6010000}"/>
    <cellStyle name="Diseño 6 19 2" xfId="4680" xr:uid="{EF8C3212-FE6C-40AE-A9F2-1D4B34B6CC57}"/>
    <cellStyle name="Diseño 6 19 3" xfId="2606" xr:uid="{94E82D3C-D407-4EF0-90D2-37740A335913}"/>
    <cellStyle name="Diseño 6 2" xfId="424" xr:uid="{00000000-0005-0000-0000-0000A7010000}"/>
    <cellStyle name="Diseño 6 2 2" xfId="4681" xr:uid="{68215288-A29F-4BEA-9E39-BF915F907585}"/>
    <cellStyle name="Diseño 6 2 3" xfId="2607" xr:uid="{05B43375-8923-4B0B-91BE-1B0281632EF8}"/>
    <cellStyle name="Diseño 6 20" xfId="425" xr:uid="{00000000-0005-0000-0000-0000A8010000}"/>
    <cellStyle name="Diseño 6 20 2" xfId="4682" xr:uid="{AD4615E4-B90F-47AA-B305-1F93190C0821}"/>
    <cellStyle name="Diseño 6 20 3" xfId="2608" xr:uid="{79742C27-0C5A-44AA-A58A-926212575370}"/>
    <cellStyle name="Diseño 6 21" xfId="426" xr:uid="{00000000-0005-0000-0000-0000A9010000}"/>
    <cellStyle name="Diseño 6 21 2" xfId="4683" xr:uid="{81983992-DA91-4B1C-8E6D-E5C2C57DE04F}"/>
    <cellStyle name="Diseño 6 21 3" xfId="2609" xr:uid="{645EA79C-B6B1-4C52-8656-EE5289BA3C02}"/>
    <cellStyle name="Diseño 6 22" xfId="427" xr:uid="{00000000-0005-0000-0000-0000AA010000}"/>
    <cellStyle name="Diseño 6 22 2" xfId="4684" xr:uid="{1253A483-F202-4B88-85F7-25FCFF3BF07E}"/>
    <cellStyle name="Diseño 6 22 3" xfId="2610" xr:uid="{D42E7390-62A5-4010-B465-2BA24EBE3E9E}"/>
    <cellStyle name="Diseño 6 23" xfId="428" xr:uid="{00000000-0005-0000-0000-0000AB010000}"/>
    <cellStyle name="Diseño 6 23 2" xfId="4685" xr:uid="{C2D2C0C7-24C5-41D3-8852-15CD2C5BCD6D}"/>
    <cellStyle name="Diseño 6 23 3" xfId="2611" xr:uid="{4128FDDE-E045-4805-93CC-F9BA0BDC323B}"/>
    <cellStyle name="Diseño 6 24" xfId="429" xr:uid="{00000000-0005-0000-0000-0000AC010000}"/>
    <cellStyle name="Diseño 6 24 2" xfId="4686" xr:uid="{245E0D49-BE91-45D0-B7BC-14844E00CFF8}"/>
    <cellStyle name="Diseño 6 24 3" xfId="2612" xr:uid="{CE89C85A-7D61-435A-8CF6-7692FB763DF5}"/>
    <cellStyle name="Diseño 6 25" xfId="430" xr:uid="{00000000-0005-0000-0000-0000AD010000}"/>
    <cellStyle name="Diseño 6 25 2" xfId="4687" xr:uid="{6BF6CA96-62DF-42A1-B893-4802B3D1B371}"/>
    <cellStyle name="Diseño 6 25 3" xfId="2613" xr:uid="{B8098CDE-9A81-4921-8B96-6A94ACD3CCBA}"/>
    <cellStyle name="Diseño 6 26" xfId="431" xr:uid="{00000000-0005-0000-0000-0000AE010000}"/>
    <cellStyle name="Diseño 6 26 2" xfId="4688" xr:uid="{B1541207-393F-4174-B7C7-E83F9C66AC84}"/>
    <cellStyle name="Diseño 6 26 3" xfId="2614" xr:uid="{D030183B-625B-4E5B-B8DD-E8BC7AB80339}"/>
    <cellStyle name="Diseño 6 27" xfId="432" xr:uid="{00000000-0005-0000-0000-0000AF010000}"/>
    <cellStyle name="Diseño 6 27 2" xfId="4689" xr:uid="{3BA5A27E-6DAF-49AE-BD9E-EBE56DA6C934}"/>
    <cellStyle name="Diseño 6 27 3" xfId="2615" xr:uid="{E94579CC-5202-4BF6-B799-AEB5875F731A}"/>
    <cellStyle name="Diseño 6 28" xfId="433" xr:uid="{00000000-0005-0000-0000-0000B0010000}"/>
    <cellStyle name="Diseño 6 28 2" xfId="4690" xr:uid="{9F11BA0D-DA10-4E24-AFF5-98700AD48297}"/>
    <cellStyle name="Diseño 6 28 3" xfId="2616" xr:uid="{634AC26C-04D9-4A28-AE28-31F3748461C5}"/>
    <cellStyle name="Diseño 6 29" xfId="434" xr:uid="{00000000-0005-0000-0000-0000B1010000}"/>
    <cellStyle name="Diseño 6 29 2" xfId="4691" xr:uid="{C9D6EA52-920F-49B0-A8F9-ED6194D83246}"/>
    <cellStyle name="Diseño 6 29 3" xfId="2617" xr:uid="{A944F8B8-54B4-42D7-923B-CE3EBA5AC245}"/>
    <cellStyle name="Diseño 6 3" xfId="435" xr:uid="{00000000-0005-0000-0000-0000B2010000}"/>
    <cellStyle name="Diseño 6 3 2" xfId="4692" xr:uid="{C6F5EDCA-CC0E-4570-A36D-1107D92DCA1C}"/>
    <cellStyle name="Diseño 6 3 3" xfId="2618" xr:uid="{AB421E68-8273-4260-B6E3-F0194ADAB51A}"/>
    <cellStyle name="Diseño 6 30" xfId="4670" xr:uid="{D884D514-5C95-40B5-B7EE-F50313C5DE9F}"/>
    <cellStyle name="Diseño 6 31" xfId="2596" xr:uid="{B23C4295-89D2-440D-839A-F4CF04018526}"/>
    <cellStyle name="Diseño 6 4" xfId="436" xr:uid="{00000000-0005-0000-0000-0000B3010000}"/>
    <cellStyle name="Diseño 6 4 2" xfId="4693" xr:uid="{11BC0D70-F698-4453-B636-9397001AA4FB}"/>
    <cellStyle name="Diseño 6 4 3" xfId="2619" xr:uid="{7CCA5461-25B4-4ADD-982C-95B314C7C4F0}"/>
    <cellStyle name="Diseño 6 5" xfId="437" xr:uid="{00000000-0005-0000-0000-0000B4010000}"/>
    <cellStyle name="Diseño 6 5 2" xfId="4694" xr:uid="{C77C2C3C-08FC-4C24-8456-7DB7A8EDB110}"/>
    <cellStyle name="Diseño 6 5 3" xfId="2620" xr:uid="{54F50875-DC84-45DD-91B5-4A482433CFB5}"/>
    <cellStyle name="Diseño 6 6" xfId="438" xr:uid="{00000000-0005-0000-0000-0000B5010000}"/>
    <cellStyle name="Diseño 6 6 2" xfId="4695" xr:uid="{D87C41EA-6469-42EF-8110-E6E2848BE6D5}"/>
    <cellStyle name="Diseño 6 6 3" xfId="2621" xr:uid="{CA780A28-37BD-4D1E-BD6F-D411B04D6345}"/>
    <cellStyle name="Diseño 6 7" xfId="439" xr:uid="{00000000-0005-0000-0000-0000B6010000}"/>
    <cellStyle name="Diseño 6 7 2" xfId="4696" xr:uid="{88AAD961-4DE8-4486-91B0-CD4C841F7738}"/>
    <cellStyle name="Diseño 6 7 3" xfId="2622" xr:uid="{E9FD37D6-3D90-4918-A279-31CF9E02E246}"/>
    <cellStyle name="Diseño 6 8" xfId="440" xr:uid="{00000000-0005-0000-0000-0000B7010000}"/>
    <cellStyle name="Diseño 6 8 2" xfId="4697" xr:uid="{03663DE7-1894-4710-B0C8-5B018E1FA755}"/>
    <cellStyle name="Diseño 6 8 3" xfId="2623" xr:uid="{CB7240BB-4877-4123-85F6-7A2AACD94216}"/>
    <cellStyle name="Diseño 6 9" xfId="441" xr:uid="{00000000-0005-0000-0000-0000B8010000}"/>
    <cellStyle name="Diseño 6 9 2" xfId="4698" xr:uid="{6F627E72-8337-48CD-8254-3FCBAA5FC8B6}"/>
    <cellStyle name="Diseño 6 9 3" xfId="2624" xr:uid="{AF1DD6CB-955F-4A46-B82F-7094FF22695A}"/>
    <cellStyle name="Diseño 7" xfId="4553" xr:uid="{70F4B6A2-6352-4300-8F1B-D64CDA396B5B}"/>
    <cellStyle name="Diseño 8" xfId="2479" xr:uid="{92553983-B31C-4998-964B-D5B930BA56C4}"/>
    <cellStyle name="dollar" xfId="442" xr:uid="{00000000-0005-0000-0000-0000B9010000}"/>
    <cellStyle name="dollar 2" xfId="443" xr:uid="{00000000-0005-0000-0000-0000BA010000}"/>
    <cellStyle name="dollar 2 10" xfId="444" xr:uid="{00000000-0005-0000-0000-0000BB010000}"/>
    <cellStyle name="dollar 2 10 2" xfId="4701" xr:uid="{A1240304-4928-455C-B029-9E47504F4B39}"/>
    <cellStyle name="dollar 2 10 3" xfId="2627" xr:uid="{16B75A67-4424-474B-99C1-721EBD312F66}"/>
    <cellStyle name="dollar 2 11" xfId="445" xr:uid="{00000000-0005-0000-0000-0000BC010000}"/>
    <cellStyle name="dollar 2 11 2" xfId="4702" xr:uid="{22A35BD4-967E-4A82-9AD0-BD50FBAC7922}"/>
    <cellStyle name="dollar 2 11 3" xfId="2628" xr:uid="{D46B0261-F676-4C42-8E9B-00E74A437194}"/>
    <cellStyle name="dollar 2 12" xfId="446" xr:uid="{00000000-0005-0000-0000-0000BD010000}"/>
    <cellStyle name="dollar 2 12 2" xfId="4703" xr:uid="{3C3E2976-BAAB-4702-8092-541D8BEE99A1}"/>
    <cellStyle name="dollar 2 12 3" xfId="2629" xr:uid="{4AB30C25-B196-4D8E-9FF7-1828ECDBBEA0}"/>
    <cellStyle name="dollar 2 13" xfId="447" xr:uid="{00000000-0005-0000-0000-0000BE010000}"/>
    <cellStyle name="dollar 2 13 2" xfId="4704" xr:uid="{6657FEBE-3277-40EF-AEFE-D1A331DCCE98}"/>
    <cellStyle name="dollar 2 13 3" xfId="2630" xr:uid="{F682DF91-59A3-4F4F-B396-28EED188D531}"/>
    <cellStyle name="dollar 2 14" xfId="448" xr:uid="{00000000-0005-0000-0000-0000BF010000}"/>
    <cellStyle name="dollar 2 14 2" xfId="4705" xr:uid="{AD0D9D66-DED7-4F02-8278-59A6785EE62E}"/>
    <cellStyle name="dollar 2 14 3" xfId="2631" xr:uid="{AD233B8B-405A-49E2-815F-A1DCC79D033B}"/>
    <cellStyle name="dollar 2 15" xfId="449" xr:uid="{00000000-0005-0000-0000-0000C0010000}"/>
    <cellStyle name="dollar 2 15 2" xfId="4706" xr:uid="{02582E5A-322F-495D-A219-8DCD43ECA715}"/>
    <cellStyle name="dollar 2 15 3" xfId="2632" xr:uid="{C26D74BF-3DF4-4E07-A21A-C30CD24F8885}"/>
    <cellStyle name="dollar 2 16" xfId="450" xr:uid="{00000000-0005-0000-0000-0000C1010000}"/>
    <cellStyle name="dollar 2 16 2" xfId="4707" xr:uid="{113A5B1B-8B45-4DC7-B39D-CFEEA305D928}"/>
    <cellStyle name="dollar 2 16 3" xfId="2633" xr:uid="{57C16D55-0022-4F64-9E85-C8D2E44F7D69}"/>
    <cellStyle name="dollar 2 17" xfId="451" xr:uid="{00000000-0005-0000-0000-0000C2010000}"/>
    <cellStyle name="dollar 2 17 2" xfId="4708" xr:uid="{BEE1DCA6-7B99-46FE-B6C8-74E996B1F5E5}"/>
    <cellStyle name="dollar 2 17 3" xfId="2634" xr:uid="{D4785BFE-7F05-4C02-A52F-E8C029831750}"/>
    <cellStyle name="dollar 2 18" xfId="452" xr:uid="{00000000-0005-0000-0000-0000C3010000}"/>
    <cellStyle name="dollar 2 18 2" xfId="4709" xr:uid="{D61DC4D3-E072-4B87-8E12-9109BECA5286}"/>
    <cellStyle name="dollar 2 18 3" xfId="2635" xr:uid="{F842AFF7-57B1-4DE8-8AEA-67611AB071C9}"/>
    <cellStyle name="dollar 2 19" xfId="453" xr:uid="{00000000-0005-0000-0000-0000C4010000}"/>
    <cellStyle name="dollar 2 19 2" xfId="4710" xr:uid="{300278AA-418B-40E8-A94F-DEDA203B4E21}"/>
    <cellStyle name="dollar 2 19 3" xfId="2636" xr:uid="{699C6F35-32F4-4EA4-B49B-CF5C51133CF3}"/>
    <cellStyle name="dollar 2 2" xfId="454" xr:uid="{00000000-0005-0000-0000-0000C5010000}"/>
    <cellStyle name="dollar 2 2 2" xfId="4711" xr:uid="{BBEDD61D-694A-4AA2-993F-CDD93169D853}"/>
    <cellStyle name="dollar 2 2 3" xfId="2637" xr:uid="{1ED67FE9-44FC-4EB5-B907-AC01EC6A40CD}"/>
    <cellStyle name="dollar 2 20" xfId="455" xr:uid="{00000000-0005-0000-0000-0000C6010000}"/>
    <cellStyle name="dollar 2 20 2" xfId="4712" xr:uid="{57AB9CB1-C29A-4B24-95D8-D5740C567C32}"/>
    <cellStyle name="dollar 2 20 3" xfId="2638" xr:uid="{9646DA38-3964-45B3-8083-A3A5F076416E}"/>
    <cellStyle name="dollar 2 21" xfId="456" xr:uid="{00000000-0005-0000-0000-0000C7010000}"/>
    <cellStyle name="dollar 2 21 2" xfId="4713" xr:uid="{FC034A29-607E-40F6-8BF5-6A12B23F63B5}"/>
    <cellStyle name="dollar 2 21 3" xfId="2639" xr:uid="{10D8FC1A-55A0-457C-B135-DB47B1119EB1}"/>
    <cellStyle name="dollar 2 22" xfId="457" xr:uid="{00000000-0005-0000-0000-0000C8010000}"/>
    <cellStyle name="dollar 2 22 2" xfId="4714" xr:uid="{65A339FB-0982-4ADC-9BD0-2A7B25B4DEB3}"/>
    <cellStyle name="dollar 2 22 3" xfId="2640" xr:uid="{229EE5FC-70DD-44FF-916E-60B7FC077687}"/>
    <cellStyle name="dollar 2 23" xfId="458" xr:uid="{00000000-0005-0000-0000-0000C9010000}"/>
    <cellStyle name="dollar 2 23 2" xfId="4715" xr:uid="{A2A61543-B62C-4F02-A236-D880630335DD}"/>
    <cellStyle name="dollar 2 23 3" xfId="2641" xr:uid="{B425B144-D3FD-4025-98FF-17490B77923B}"/>
    <cellStyle name="dollar 2 24" xfId="459" xr:uid="{00000000-0005-0000-0000-0000CA010000}"/>
    <cellStyle name="dollar 2 24 2" xfId="4716" xr:uid="{7F8E0BD4-0EC0-4DE3-9C1B-B7EBAC3937D5}"/>
    <cellStyle name="dollar 2 24 3" xfId="2642" xr:uid="{4D339215-8BA6-4122-8B3C-2DDA698FADEE}"/>
    <cellStyle name="dollar 2 25" xfId="460" xr:uid="{00000000-0005-0000-0000-0000CB010000}"/>
    <cellStyle name="dollar 2 25 2" xfId="4717" xr:uid="{A2956C5E-3A7F-4B33-9AFC-0405E1A4A9DC}"/>
    <cellStyle name="dollar 2 25 3" xfId="2643" xr:uid="{338E2C8D-961D-425E-AF4F-3E3BF6F2C5AF}"/>
    <cellStyle name="dollar 2 26" xfId="461" xr:uid="{00000000-0005-0000-0000-0000CC010000}"/>
    <cellStyle name="dollar 2 26 2" xfId="4718" xr:uid="{1C801E81-6F5A-4C67-A538-CCE0360C6C8D}"/>
    <cellStyle name="dollar 2 26 3" xfId="2644" xr:uid="{E6DE540C-BCCC-4014-A64E-F2263A9745B6}"/>
    <cellStyle name="dollar 2 27" xfId="462" xr:uid="{00000000-0005-0000-0000-0000CD010000}"/>
    <cellStyle name="dollar 2 27 2" xfId="4719" xr:uid="{8E8D6508-AB4A-4FF9-91E9-DFEE98969C38}"/>
    <cellStyle name="dollar 2 27 3" xfId="2645" xr:uid="{40E324AC-A15A-43D7-A541-962A0A1B4A00}"/>
    <cellStyle name="dollar 2 28" xfId="463" xr:uid="{00000000-0005-0000-0000-0000CE010000}"/>
    <cellStyle name="dollar 2 28 2" xfId="4720" xr:uid="{BA9CA286-2351-4AF8-A113-1EEAFCFD3C1A}"/>
    <cellStyle name="dollar 2 28 3" xfId="2646" xr:uid="{D57020F2-734A-496F-BAD0-FF19D1C619A5}"/>
    <cellStyle name="dollar 2 29" xfId="464" xr:uid="{00000000-0005-0000-0000-0000CF010000}"/>
    <cellStyle name="dollar 2 29 2" xfId="4721" xr:uid="{B548C10D-1F56-4CE4-B236-6C6B87786B8D}"/>
    <cellStyle name="dollar 2 29 3" xfId="2647" xr:uid="{AC4FF213-D426-4021-8535-6DE97A1319AA}"/>
    <cellStyle name="dollar 2 3" xfId="465" xr:uid="{00000000-0005-0000-0000-0000D0010000}"/>
    <cellStyle name="dollar 2 3 2" xfId="4722" xr:uid="{2BD43FBD-FC70-4AB2-912C-5BFE832B6F14}"/>
    <cellStyle name="dollar 2 3 3" xfId="2648" xr:uid="{F2F4B35B-7F87-4B0F-8B3B-7438CF9A6EC2}"/>
    <cellStyle name="dollar 2 30" xfId="4700" xr:uid="{5BD60BC9-8C3C-4610-B9ED-DE1802F8C167}"/>
    <cellStyle name="dollar 2 31" xfId="2626" xr:uid="{88F66A65-CF18-4C46-BE1A-827AD87425DB}"/>
    <cellStyle name="dollar 2 4" xfId="466" xr:uid="{00000000-0005-0000-0000-0000D1010000}"/>
    <cellStyle name="dollar 2 4 2" xfId="4723" xr:uid="{3C9BE91D-3125-418C-8AE0-C88B31B07F71}"/>
    <cellStyle name="dollar 2 4 3" xfId="2649" xr:uid="{98A47241-A37F-42A6-8C37-A4717466D438}"/>
    <cellStyle name="dollar 2 5" xfId="467" xr:uid="{00000000-0005-0000-0000-0000D2010000}"/>
    <cellStyle name="dollar 2 5 2" xfId="4724" xr:uid="{9ED9EA81-4D1B-4504-8EBD-FCE6CBCDB2A7}"/>
    <cellStyle name="dollar 2 5 3" xfId="2650" xr:uid="{2323AA90-16F8-4A35-86B8-E90B1C507996}"/>
    <cellStyle name="dollar 2 6" xfId="468" xr:uid="{00000000-0005-0000-0000-0000D3010000}"/>
    <cellStyle name="dollar 2 6 2" xfId="4725" xr:uid="{84D562AE-A77B-494F-BD24-D6010E14BDBD}"/>
    <cellStyle name="dollar 2 6 3" xfId="2651" xr:uid="{146EA668-2C55-47B3-AE0A-83CF7EA73A20}"/>
    <cellStyle name="dollar 2 7" xfId="469" xr:uid="{00000000-0005-0000-0000-0000D4010000}"/>
    <cellStyle name="dollar 2 7 2" xfId="4726" xr:uid="{59F48343-2A29-4DEF-A2FA-1A3AEF331A44}"/>
    <cellStyle name="dollar 2 7 3" xfId="2652" xr:uid="{AC3F29DC-DA50-4994-A99B-6412DDCC66C0}"/>
    <cellStyle name="dollar 2 8" xfId="470" xr:uid="{00000000-0005-0000-0000-0000D5010000}"/>
    <cellStyle name="dollar 2 8 2" xfId="4727" xr:uid="{23785173-EB17-405B-A8DA-2473E53AA7B7}"/>
    <cellStyle name="dollar 2 8 3" xfId="2653" xr:uid="{18D6AE2E-F988-46C7-B1F6-2DD53B29E4C5}"/>
    <cellStyle name="dollar 2 9" xfId="471" xr:uid="{00000000-0005-0000-0000-0000D6010000}"/>
    <cellStyle name="dollar 2 9 2" xfId="4728" xr:uid="{AF84F425-8DDE-4679-AC39-569C32863858}"/>
    <cellStyle name="dollar 2 9 3" xfId="2654" xr:uid="{0014E0AD-74DE-47B8-B333-D9D8E89A17AD}"/>
    <cellStyle name="dollar 3" xfId="472" xr:uid="{00000000-0005-0000-0000-0000D7010000}"/>
    <cellStyle name="dollar 3 10" xfId="473" xr:uid="{00000000-0005-0000-0000-0000D8010000}"/>
    <cellStyle name="dollar 3 10 2" xfId="4730" xr:uid="{7FB3765C-6BE2-4929-97B1-6CA01D46C725}"/>
    <cellStyle name="dollar 3 10 3" xfId="2656" xr:uid="{3FD85A09-F3B4-46E0-ADE8-6EF0DAC27299}"/>
    <cellStyle name="dollar 3 11" xfId="474" xr:uid="{00000000-0005-0000-0000-0000D9010000}"/>
    <cellStyle name="dollar 3 11 2" xfId="4731" xr:uid="{4A251407-5A4F-4DCA-B545-6DED751AFDFC}"/>
    <cellStyle name="dollar 3 11 3" xfId="2657" xr:uid="{4771C0C8-BEFA-47E1-94A7-BD81A83FB46A}"/>
    <cellStyle name="dollar 3 12" xfId="475" xr:uid="{00000000-0005-0000-0000-0000DA010000}"/>
    <cellStyle name="dollar 3 12 2" xfId="4732" xr:uid="{6674D9C3-F885-40D9-B8CD-0285234E8BAE}"/>
    <cellStyle name="dollar 3 12 3" xfId="2658" xr:uid="{108989D3-FB15-44CD-8884-655FEC919D7C}"/>
    <cellStyle name="dollar 3 13" xfId="476" xr:uid="{00000000-0005-0000-0000-0000DB010000}"/>
    <cellStyle name="dollar 3 13 2" xfId="4733" xr:uid="{80072331-D683-40CA-8CA8-C0B6BB8866BA}"/>
    <cellStyle name="dollar 3 13 3" xfId="2659" xr:uid="{EDF8E1B1-D1BA-4BA2-8930-EC7460BF2F3D}"/>
    <cellStyle name="dollar 3 14" xfId="477" xr:uid="{00000000-0005-0000-0000-0000DC010000}"/>
    <cellStyle name="dollar 3 14 2" xfId="4734" xr:uid="{4380269C-645C-4A46-92BC-0CD31541A589}"/>
    <cellStyle name="dollar 3 14 3" xfId="2660" xr:uid="{3BD449C3-A1DB-4E08-93D3-93665FA83BFD}"/>
    <cellStyle name="dollar 3 15" xfId="478" xr:uid="{00000000-0005-0000-0000-0000DD010000}"/>
    <cellStyle name="dollar 3 15 2" xfId="4735" xr:uid="{D2C3C957-6EDA-456F-ABE6-ADABA1121F49}"/>
    <cellStyle name="dollar 3 15 3" xfId="2661" xr:uid="{CF5B948F-6E5E-45CA-834F-BA35B3EF64F1}"/>
    <cellStyle name="dollar 3 16" xfId="479" xr:uid="{00000000-0005-0000-0000-0000DE010000}"/>
    <cellStyle name="dollar 3 16 2" xfId="4736" xr:uid="{99F47248-485C-4544-A52F-7FD01D9E57E1}"/>
    <cellStyle name="dollar 3 16 3" xfId="2662" xr:uid="{1D5FBAED-2436-4203-9945-6E0A3331F63C}"/>
    <cellStyle name="dollar 3 17" xfId="480" xr:uid="{00000000-0005-0000-0000-0000DF010000}"/>
    <cellStyle name="dollar 3 17 2" xfId="4737" xr:uid="{34325AE1-6770-4693-B882-C28D2E677CCD}"/>
    <cellStyle name="dollar 3 17 3" xfId="2663" xr:uid="{057B52BF-C1A9-47C4-BC4D-E1CBD5792907}"/>
    <cellStyle name="dollar 3 18" xfId="481" xr:uid="{00000000-0005-0000-0000-0000E0010000}"/>
    <cellStyle name="dollar 3 18 2" xfId="4738" xr:uid="{824D87F7-4DCF-4263-9C1F-0562888046E8}"/>
    <cellStyle name="dollar 3 18 3" xfId="2664" xr:uid="{6075F574-2524-4F86-B00C-3A6F715251AA}"/>
    <cellStyle name="dollar 3 19" xfId="482" xr:uid="{00000000-0005-0000-0000-0000E1010000}"/>
    <cellStyle name="dollar 3 19 2" xfId="4739" xr:uid="{BA61491B-1CDD-4848-915B-F5766CB840B9}"/>
    <cellStyle name="dollar 3 19 3" xfId="2665" xr:uid="{BA62F381-C266-41DF-9D7B-E0B2D0A17F74}"/>
    <cellStyle name="dollar 3 2" xfId="483" xr:uid="{00000000-0005-0000-0000-0000E2010000}"/>
    <cellStyle name="dollar 3 2 2" xfId="4740" xr:uid="{84299E83-829A-481E-A67F-B56169067D21}"/>
    <cellStyle name="dollar 3 2 3" xfId="2666" xr:uid="{15E4658C-4A80-44B6-936E-7A6C6366E211}"/>
    <cellStyle name="dollar 3 20" xfId="484" xr:uid="{00000000-0005-0000-0000-0000E3010000}"/>
    <cellStyle name="dollar 3 20 2" xfId="4741" xr:uid="{F279450C-782A-40F6-8F30-AA7014FADC53}"/>
    <cellStyle name="dollar 3 20 3" xfId="2667" xr:uid="{E8357898-0277-41F0-9676-19BE7574C5B1}"/>
    <cellStyle name="dollar 3 21" xfId="485" xr:uid="{00000000-0005-0000-0000-0000E4010000}"/>
    <cellStyle name="dollar 3 21 2" xfId="4742" xr:uid="{C10E4D40-001F-4966-B9FD-6E41DE57886D}"/>
    <cellStyle name="dollar 3 21 3" xfId="2668" xr:uid="{3385DEEE-BA2A-40DB-AABA-012FC29322AA}"/>
    <cellStyle name="dollar 3 22" xfId="486" xr:uid="{00000000-0005-0000-0000-0000E5010000}"/>
    <cellStyle name="dollar 3 22 2" xfId="4743" xr:uid="{7946F30A-D3B3-45A8-83C3-43310E2342DB}"/>
    <cellStyle name="dollar 3 22 3" xfId="2669" xr:uid="{5A459F66-0D55-4971-B705-2144FDF08E96}"/>
    <cellStyle name="dollar 3 23" xfId="487" xr:uid="{00000000-0005-0000-0000-0000E6010000}"/>
    <cellStyle name="dollar 3 23 2" xfId="4744" xr:uid="{4EB32A57-5F87-46C1-8A08-B2A13B394398}"/>
    <cellStyle name="dollar 3 23 3" xfId="2670" xr:uid="{F2B3272C-F381-4B47-B630-87631D68F55C}"/>
    <cellStyle name="dollar 3 24" xfId="488" xr:uid="{00000000-0005-0000-0000-0000E7010000}"/>
    <cellStyle name="dollar 3 24 2" xfId="4745" xr:uid="{9F403AC8-94C7-4686-B7CF-7F02BDA5E185}"/>
    <cellStyle name="dollar 3 24 3" xfId="2671" xr:uid="{EA2CAE95-5013-49EC-A7F8-CB709E1DEA7A}"/>
    <cellStyle name="dollar 3 25" xfId="489" xr:uid="{00000000-0005-0000-0000-0000E8010000}"/>
    <cellStyle name="dollar 3 25 2" xfId="4746" xr:uid="{A5F74DA5-55FC-4147-83A9-F1477CDF5AB9}"/>
    <cellStyle name="dollar 3 25 3" xfId="2672" xr:uid="{9527FF13-633A-4D50-AC74-D351B3714539}"/>
    <cellStyle name="dollar 3 26" xfId="490" xr:uid="{00000000-0005-0000-0000-0000E9010000}"/>
    <cellStyle name="dollar 3 26 2" xfId="4747" xr:uid="{C0BF5091-168B-40DB-A667-F2F8C7AE4B56}"/>
    <cellStyle name="dollar 3 26 3" xfId="2673" xr:uid="{415C0814-45F5-40B2-9F45-C5AE19ADC707}"/>
    <cellStyle name="dollar 3 27" xfId="491" xr:uid="{00000000-0005-0000-0000-0000EA010000}"/>
    <cellStyle name="dollar 3 27 2" xfId="4748" xr:uid="{A8A7C50B-EE91-45E0-BFEC-F0DBAC2D25D8}"/>
    <cellStyle name="dollar 3 27 3" xfId="2674" xr:uid="{2AE459F5-BB11-4C20-9E64-70D7171A3DBB}"/>
    <cellStyle name="dollar 3 28" xfId="492" xr:uid="{00000000-0005-0000-0000-0000EB010000}"/>
    <cellStyle name="dollar 3 28 2" xfId="4749" xr:uid="{62ED0657-8715-4264-ACB5-52A053B4F5A1}"/>
    <cellStyle name="dollar 3 28 3" xfId="2675" xr:uid="{239C50A8-5974-4EC9-A632-8C9B314A0A2A}"/>
    <cellStyle name="dollar 3 29" xfId="493" xr:uid="{00000000-0005-0000-0000-0000EC010000}"/>
    <cellStyle name="dollar 3 29 2" xfId="4750" xr:uid="{E9A78579-B5C9-4666-A5F8-07C3C9CE89AD}"/>
    <cellStyle name="dollar 3 29 3" xfId="2676" xr:uid="{F33A9478-562D-41C1-A5E3-A9CCA7D7A35A}"/>
    <cellStyle name="dollar 3 3" xfId="494" xr:uid="{00000000-0005-0000-0000-0000ED010000}"/>
    <cellStyle name="dollar 3 3 2" xfId="4751" xr:uid="{A77B2E42-1325-49B4-B620-1EF28A846C7D}"/>
    <cellStyle name="dollar 3 3 3" xfId="2677" xr:uid="{45B1C81E-C0FA-4586-BBA7-22847D216225}"/>
    <cellStyle name="dollar 3 30" xfId="4729" xr:uid="{F2B58238-A544-4BAA-BD14-E724421DC3EC}"/>
    <cellStyle name="dollar 3 31" xfId="2655" xr:uid="{7E9E39E2-E986-41B5-B113-38859167B87E}"/>
    <cellStyle name="dollar 3 4" xfId="495" xr:uid="{00000000-0005-0000-0000-0000EE010000}"/>
    <cellStyle name="dollar 3 4 2" xfId="4752" xr:uid="{DB0A50AB-B11C-47EA-A44D-724C830BC7EA}"/>
    <cellStyle name="dollar 3 4 3" xfId="2678" xr:uid="{56ECC196-5E55-4F2A-8569-C43A4091E7D6}"/>
    <cellStyle name="dollar 3 5" xfId="496" xr:uid="{00000000-0005-0000-0000-0000EF010000}"/>
    <cellStyle name="dollar 3 5 2" xfId="4753" xr:uid="{0D95671F-75B1-4487-BFF7-AFAB3C6E54E5}"/>
    <cellStyle name="dollar 3 5 3" xfId="2679" xr:uid="{F7249E65-5A71-4F90-AD9C-5B57F0D6DACD}"/>
    <cellStyle name="dollar 3 6" xfId="497" xr:uid="{00000000-0005-0000-0000-0000F0010000}"/>
    <cellStyle name="dollar 3 6 2" xfId="4754" xr:uid="{FDF227E6-78A3-46BE-AEEB-6BBF2B66ECAC}"/>
    <cellStyle name="dollar 3 6 3" xfId="2680" xr:uid="{DE79E89C-5555-4551-814F-A42CDC8380CC}"/>
    <cellStyle name="dollar 3 7" xfId="498" xr:uid="{00000000-0005-0000-0000-0000F1010000}"/>
    <cellStyle name="dollar 3 7 2" xfId="4755" xr:uid="{D1D7FDE1-C1BA-44DD-9893-72DDEDCBB96C}"/>
    <cellStyle name="dollar 3 7 3" xfId="2681" xr:uid="{FEB62646-99B4-4EDA-BA05-78EF2E9FD992}"/>
    <cellStyle name="dollar 3 8" xfId="499" xr:uid="{00000000-0005-0000-0000-0000F2010000}"/>
    <cellStyle name="dollar 3 8 2" xfId="4756" xr:uid="{2F6340FF-3433-4186-9BA5-971747257EA4}"/>
    <cellStyle name="dollar 3 8 3" xfId="2682" xr:uid="{428A6A51-CFCC-4EE2-AD1F-FDC320B004B2}"/>
    <cellStyle name="dollar 3 9" xfId="500" xr:uid="{00000000-0005-0000-0000-0000F3010000}"/>
    <cellStyle name="dollar 3 9 2" xfId="4757" xr:uid="{BC424A5A-AE98-4F51-98C6-923E22C89898}"/>
    <cellStyle name="dollar 3 9 3" xfId="2683" xr:uid="{106C00F8-4A80-4AFA-99CF-2134AB28363B}"/>
    <cellStyle name="dollar 4" xfId="501" xr:uid="{00000000-0005-0000-0000-0000F4010000}"/>
    <cellStyle name="dollar 4 10" xfId="502" xr:uid="{00000000-0005-0000-0000-0000F5010000}"/>
    <cellStyle name="dollar 4 10 2" xfId="4759" xr:uid="{C307D0B6-241A-4E81-88DE-03C2E11A8867}"/>
    <cellStyle name="dollar 4 10 3" xfId="2685" xr:uid="{2BC85A7B-24B9-4B14-B2CE-BCE171E24384}"/>
    <cellStyle name="dollar 4 11" xfId="503" xr:uid="{00000000-0005-0000-0000-0000F6010000}"/>
    <cellStyle name="dollar 4 11 2" xfId="4760" xr:uid="{A5963F1B-74E3-4C62-9991-2CFFF6594CC7}"/>
    <cellStyle name="dollar 4 11 3" xfId="2686" xr:uid="{20B7EF7F-5310-4C4F-B28B-23CD108A357B}"/>
    <cellStyle name="dollar 4 12" xfId="504" xr:uid="{00000000-0005-0000-0000-0000F7010000}"/>
    <cellStyle name="dollar 4 12 2" xfId="4761" xr:uid="{D732788F-BFA0-4E8A-80F5-DF6065F4F33B}"/>
    <cellStyle name="dollar 4 12 3" xfId="2687" xr:uid="{06892C4B-AF51-4259-8E4E-3A6C34413633}"/>
    <cellStyle name="dollar 4 13" xfId="505" xr:uid="{00000000-0005-0000-0000-0000F8010000}"/>
    <cellStyle name="dollar 4 13 2" xfId="4762" xr:uid="{A3FC71FF-6DA9-4CE7-9E90-FCADD2B6BF37}"/>
    <cellStyle name="dollar 4 13 3" xfId="2688" xr:uid="{0030F08A-7CD7-4D71-AB3B-947A0B1B1610}"/>
    <cellStyle name="dollar 4 14" xfId="506" xr:uid="{00000000-0005-0000-0000-0000F9010000}"/>
    <cellStyle name="dollar 4 14 2" xfId="4763" xr:uid="{7D325BB8-A233-468B-BA71-4D7C9D139F79}"/>
    <cellStyle name="dollar 4 14 3" xfId="2689" xr:uid="{5CB6DD63-357D-42CE-9D27-A7B7A0104972}"/>
    <cellStyle name="dollar 4 15" xfId="507" xr:uid="{00000000-0005-0000-0000-0000FA010000}"/>
    <cellStyle name="dollar 4 15 2" xfId="4764" xr:uid="{D8AE974C-09D4-44D8-8BA4-8BD56E89E164}"/>
    <cellStyle name="dollar 4 15 3" xfId="2690" xr:uid="{B402219C-0794-4C1D-B279-61B2BE31869E}"/>
    <cellStyle name="dollar 4 16" xfId="508" xr:uid="{00000000-0005-0000-0000-0000FB010000}"/>
    <cellStyle name="dollar 4 16 2" xfId="4765" xr:uid="{B5BC1B29-AA53-46C4-AC8C-41587C55B939}"/>
    <cellStyle name="dollar 4 16 3" xfId="2691" xr:uid="{BD285348-D2FD-4C9D-8E0A-AB6248CD7D6F}"/>
    <cellStyle name="dollar 4 17" xfId="509" xr:uid="{00000000-0005-0000-0000-0000FC010000}"/>
    <cellStyle name="dollar 4 17 2" xfId="4766" xr:uid="{3B6EAD40-44B0-4095-BD93-7F6BCE07B36F}"/>
    <cellStyle name="dollar 4 17 3" xfId="2692" xr:uid="{3B039D5E-3DC7-4D15-8B92-C3708AF8C01C}"/>
    <cellStyle name="dollar 4 18" xfId="510" xr:uid="{00000000-0005-0000-0000-0000FD010000}"/>
    <cellStyle name="dollar 4 18 2" xfId="4767" xr:uid="{8A261BBD-1E04-4CC2-B723-A82209F6C6AB}"/>
    <cellStyle name="dollar 4 18 3" xfId="2693" xr:uid="{6B4E7E84-D055-404F-A393-B73DCEE21515}"/>
    <cellStyle name="dollar 4 19" xfId="511" xr:uid="{00000000-0005-0000-0000-0000FE010000}"/>
    <cellStyle name="dollar 4 19 2" xfId="4768" xr:uid="{74318176-66B8-4D23-A207-7A31EBD8D6F8}"/>
    <cellStyle name="dollar 4 19 3" xfId="2694" xr:uid="{DC2D0320-C63F-49B5-910A-8AB1403975C8}"/>
    <cellStyle name="dollar 4 2" xfId="512" xr:uid="{00000000-0005-0000-0000-0000FF010000}"/>
    <cellStyle name="dollar 4 2 2" xfId="4769" xr:uid="{6D12B1BB-F1FC-456A-A1D1-72784B9D8982}"/>
    <cellStyle name="dollar 4 2 3" xfId="2695" xr:uid="{E461A9B3-EEED-4229-A51B-49081EB32103}"/>
    <cellStyle name="dollar 4 20" xfId="513" xr:uid="{00000000-0005-0000-0000-000000020000}"/>
    <cellStyle name="dollar 4 20 2" xfId="4770" xr:uid="{FAAB8B8D-6FFA-4BBF-83E7-85E4FF52B660}"/>
    <cellStyle name="dollar 4 20 3" xfId="2696" xr:uid="{A45F7BF9-1227-447A-B29D-BCBD9DAB2B46}"/>
    <cellStyle name="dollar 4 21" xfId="514" xr:uid="{00000000-0005-0000-0000-000001020000}"/>
    <cellStyle name="dollar 4 21 2" xfId="4771" xr:uid="{913145A9-19A8-4408-B8B6-FC516E3D03FF}"/>
    <cellStyle name="dollar 4 21 3" xfId="2697" xr:uid="{7E9FF13D-9107-4644-91AF-C52A957D20FA}"/>
    <cellStyle name="dollar 4 22" xfId="515" xr:uid="{00000000-0005-0000-0000-000002020000}"/>
    <cellStyle name="dollar 4 22 2" xfId="4772" xr:uid="{D37B12AC-7CF8-4A89-988E-B801EEBFA871}"/>
    <cellStyle name="dollar 4 22 3" xfId="2698" xr:uid="{7FFC3773-AF28-4F7E-9E33-AFF34A1BAED3}"/>
    <cellStyle name="dollar 4 23" xfId="516" xr:uid="{00000000-0005-0000-0000-000003020000}"/>
    <cellStyle name="dollar 4 23 2" xfId="4773" xr:uid="{A6BD701A-CD4E-4636-A8D7-1A06D38673A4}"/>
    <cellStyle name="dollar 4 23 3" xfId="2699" xr:uid="{C8F7D535-2C40-4467-9EFF-A3513250455D}"/>
    <cellStyle name="dollar 4 24" xfId="517" xr:uid="{00000000-0005-0000-0000-000004020000}"/>
    <cellStyle name="dollar 4 24 2" xfId="4774" xr:uid="{1290D615-5DD8-49E9-AF3F-72AC1BA62F3B}"/>
    <cellStyle name="dollar 4 24 3" xfId="2700" xr:uid="{5B7E560A-6FFA-4062-9583-1C1E28EC8A4A}"/>
    <cellStyle name="dollar 4 25" xfId="518" xr:uid="{00000000-0005-0000-0000-000005020000}"/>
    <cellStyle name="dollar 4 25 2" xfId="4775" xr:uid="{55079180-03BC-4773-BE2F-BB66BFAE6422}"/>
    <cellStyle name="dollar 4 25 3" xfId="2701" xr:uid="{6903AF86-0DF9-45B7-ADE7-903559BA691D}"/>
    <cellStyle name="dollar 4 26" xfId="519" xr:uid="{00000000-0005-0000-0000-000006020000}"/>
    <cellStyle name="dollar 4 26 2" xfId="4776" xr:uid="{07CB3CAA-6843-43E0-A2BE-2F8CF7AF40CF}"/>
    <cellStyle name="dollar 4 26 3" xfId="2702" xr:uid="{7FE52C26-8E01-40D0-B54D-A57825BE7E7C}"/>
    <cellStyle name="dollar 4 27" xfId="520" xr:uid="{00000000-0005-0000-0000-000007020000}"/>
    <cellStyle name="dollar 4 27 2" xfId="4777" xr:uid="{996D0372-138E-4CC8-82B5-C9652BA5D9BA}"/>
    <cellStyle name="dollar 4 27 3" xfId="2703" xr:uid="{1CF1FC49-D3FF-4978-880C-CB15289BFD60}"/>
    <cellStyle name="dollar 4 28" xfId="521" xr:uid="{00000000-0005-0000-0000-000008020000}"/>
    <cellStyle name="dollar 4 28 2" xfId="4778" xr:uid="{7BD7A6AD-910B-48B8-A042-CDCC3AAA77E4}"/>
    <cellStyle name="dollar 4 28 3" xfId="2704" xr:uid="{8DB5EEF4-E309-44D7-BF9D-7424CBAA6A67}"/>
    <cellStyle name="dollar 4 29" xfId="522" xr:uid="{00000000-0005-0000-0000-000009020000}"/>
    <cellStyle name="dollar 4 29 2" xfId="4779" xr:uid="{26A83EAA-A415-47BB-ABC4-70A64E1B53D0}"/>
    <cellStyle name="dollar 4 29 3" xfId="2705" xr:uid="{2BA7DDED-0477-4FC7-AFE8-1E21AB805886}"/>
    <cellStyle name="dollar 4 3" xfId="523" xr:uid="{00000000-0005-0000-0000-00000A020000}"/>
    <cellStyle name="dollar 4 3 2" xfId="4780" xr:uid="{28966A51-AF0F-4D89-B27E-DA53C34B6F3D}"/>
    <cellStyle name="dollar 4 3 3" xfId="2706" xr:uid="{7EA34688-C51F-431E-8C49-EC5612B46C3C}"/>
    <cellStyle name="dollar 4 30" xfId="4758" xr:uid="{A73495A6-05EF-4CEC-9928-94301F5EF8D7}"/>
    <cellStyle name="dollar 4 31" xfId="2684" xr:uid="{680658B6-7020-48E6-8D31-5C656166E1D9}"/>
    <cellStyle name="dollar 4 4" xfId="524" xr:uid="{00000000-0005-0000-0000-00000B020000}"/>
    <cellStyle name="dollar 4 4 2" xfId="4781" xr:uid="{7C018E18-AED5-48D8-B47E-F667FF603B0B}"/>
    <cellStyle name="dollar 4 4 3" xfId="2707" xr:uid="{834431E4-5BE5-4D6C-AA64-8752C9413C2C}"/>
    <cellStyle name="dollar 4 5" xfId="525" xr:uid="{00000000-0005-0000-0000-00000C020000}"/>
    <cellStyle name="dollar 4 5 2" xfId="4782" xr:uid="{D07D5FF4-FBDE-4892-8EEB-0850FCC4440E}"/>
    <cellStyle name="dollar 4 5 3" xfId="2708" xr:uid="{E6BFAC10-09C0-4BB1-AB13-8E1DF12DAFB5}"/>
    <cellStyle name="dollar 4 6" xfId="526" xr:uid="{00000000-0005-0000-0000-00000D020000}"/>
    <cellStyle name="dollar 4 6 2" xfId="4783" xr:uid="{8AFB46F3-1249-442F-B83F-2492AB5CEB43}"/>
    <cellStyle name="dollar 4 6 3" xfId="2709" xr:uid="{04A26BA5-CC7D-4148-A010-6B2226031CAC}"/>
    <cellStyle name="dollar 4 7" xfId="527" xr:uid="{00000000-0005-0000-0000-00000E020000}"/>
    <cellStyle name="dollar 4 7 2" xfId="4784" xr:uid="{3E4B25D2-F201-4843-A063-82837E7A08F1}"/>
    <cellStyle name="dollar 4 7 3" xfId="2710" xr:uid="{704116B7-C657-4BBD-9F73-72765C1EA677}"/>
    <cellStyle name="dollar 4 8" xfId="528" xr:uid="{00000000-0005-0000-0000-00000F020000}"/>
    <cellStyle name="dollar 4 8 2" xfId="4785" xr:uid="{4DA3CB2A-C255-4736-8585-A2D75FE79587}"/>
    <cellStyle name="dollar 4 8 3" xfId="2711" xr:uid="{DFE9F3C7-B096-45EF-99C8-760630F06499}"/>
    <cellStyle name="dollar 4 9" xfId="529" xr:uid="{00000000-0005-0000-0000-000010020000}"/>
    <cellStyle name="dollar 4 9 2" xfId="4786" xr:uid="{B57A51C4-8E3F-4347-9CD0-F2B579BAA5CC}"/>
    <cellStyle name="dollar 4 9 3" xfId="2712" xr:uid="{E53086D6-78CB-44C0-B05D-4A7C2D0A496A}"/>
    <cellStyle name="dollar 5" xfId="530" xr:uid="{00000000-0005-0000-0000-000011020000}"/>
    <cellStyle name="dollar 5 10" xfId="531" xr:uid="{00000000-0005-0000-0000-000012020000}"/>
    <cellStyle name="dollar 5 10 2" xfId="4788" xr:uid="{32266694-A849-4E8B-97C8-E8E8BFE4EA6D}"/>
    <cellStyle name="dollar 5 10 3" xfId="2714" xr:uid="{46740D6B-7130-433B-B885-CD70B6F336E3}"/>
    <cellStyle name="dollar 5 11" xfId="532" xr:uid="{00000000-0005-0000-0000-000013020000}"/>
    <cellStyle name="dollar 5 11 2" xfId="4789" xr:uid="{93E0918C-BE7B-45D2-9976-788D4EFB0A19}"/>
    <cellStyle name="dollar 5 11 3" xfId="2715" xr:uid="{061C41F5-E55B-4A74-AD66-B120D1C5D1D2}"/>
    <cellStyle name="dollar 5 12" xfId="533" xr:uid="{00000000-0005-0000-0000-000014020000}"/>
    <cellStyle name="dollar 5 12 2" xfId="4790" xr:uid="{BDCB3D59-CC21-4A2A-806F-DB24267C098C}"/>
    <cellStyle name="dollar 5 12 3" xfId="2716" xr:uid="{9CCDAEB6-54B7-4C2E-8196-C5A969459F7D}"/>
    <cellStyle name="dollar 5 13" xfId="534" xr:uid="{00000000-0005-0000-0000-000015020000}"/>
    <cellStyle name="dollar 5 13 2" xfId="4791" xr:uid="{FFBEB6CB-433C-4ACA-A256-FFA73FAF4731}"/>
    <cellStyle name="dollar 5 13 3" xfId="2717" xr:uid="{7E23641C-3E5F-43B9-8ED0-C0D63DDC40C6}"/>
    <cellStyle name="dollar 5 14" xfId="535" xr:uid="{00000000-0005-0000-0000-000016020000}"/>
    <cellStyle name="dollar 5 14 2" xfId="4792" xr:uid="{F49A94D3-E996-4CA5-BF6E-F18C2BCEEC42}"/>
    <cellStyle name="dollar 5 14 3" xfId="2718" xr:uid="{F19B288D-D1D9-4F9B-A18D-0C3D813EDBE6}"/>
    <cellStyle name="dollar 5 15" xfId="536" xr:uid="{00000000-0005-0000-0000-000017020000}"/>
    <cellStyle name="dollar 5 15 2" xfId="4793" xr:uid="{3EB46FC0-9504-41C2-9AF6-E473887C46EB}"/>
    <cellStyle name="dollar 5 15 3" xfId="2719" xr:uid="{D0C27A69-CB42-456E-80D8-9B56325AB883}"/>
    <cellStyle name="dollar 5 16" xfId="537" xr:uid="{00000000-0005-0000-0000-000018020000}"/>
    <cellStyle name="dollar 5 16 2" xfId="4794" xr:uid="{B42C3B7E-FE9C-439E-B0B3-1B81B8B73C59}"/>
    <cellStyle name="dollar 5 16 3" xfId="2720" xr:uid="{BEADF449-386D-48DD-B2A4-74A095E43435}"/>
    <cellStyle name="dollar 5 17" xfId="538" xr:uid="{00000000-0005-0000-0000-000019020000}"/>
    <cellStyle name="dollar 5 17 2" xfId="4795" xr:uid="{E86B2750-5BB7-4410-B55F-61B738754BE9}"/>
    <cellStyle name="dollar 5 17 3" xfId="2721" xr:uid="{BB91C483-AD73-42D6-89F6-79EADBA8FB3D}"/>
    <cellStyle name="dollar 5 18" xfId="539" xr:uid="{00000000-0005-0000-0000-00001A020000}"/>
    <cellStyle name="dollar 5 18 2" xfId="4796" xr:uid="{357C44E7-B3DD-46E1-B023-197F93722665}"/>
    <cellStyle name="dollar 5 18 3" xfId="2722" xr:uid="{4724AF5E-9747-446E-BF12-0086F7D44540}"/>
    <cellStyle name="dollar 5 19" xfId="540" xr:uid="{00000000-0005-0000-0000-00001B020000}"/>
    <cellStyle name="dollar 5 19 2" xfId="4797" xr:uid="{C48623BC-CEAD-4DED-9B5D-5A510AA4829E}"/>
    <cellStyle name="dollar 5 19 3" xfId="2723" xr:uid="{26165563-681D-4D78-96E1-B8A9E1B9C796}"/>
    <cellStyle name="dollar 5 2" xfId="541" xr:uid="{00000000-0005-0000-0000-00001C020000}"/>
    <cellStyle name="dollar 5 2 2" xfId="4798" xr:uid="{86D8C681-B10D-416E-9561-3A0379FFDF6B}"/>
    <cellStyle name="dollar 5 2 3" xfId="2724" xr:uid="{47F95E5F-FFB4-4DB8-8D62-8B6FD592D369}"/>
    <cellStyle name="dollar 5 20" xfId="542" xr:uid="{00000000-0005-0000-0000-00001D020000}"/>
    <cellStyle name="dollar 5 20 2" xfId="4799" xr:uid="{6FFBFBE8-4DEC-4277-A8C6-E49B0501D0C7}"/>
    <cellStyle name="dollar 5 20 3" xfId="2725" xr:uid="{D0179E60-EA96-4636-8691-8BF80377D08E}"/>
    <cellStyle name="dollar 5 21" xfId="543" xr:uid="{00000000-0005-0000-0000-00001E020000}"/>
    <cellStyle name="dollar 5 21 2" xfId="4800" xr:uid="{87EB2FC8-FA05-494F-8F03-F7C6B76804D8}"/>
    <cellStyle name="dollar 5 21 3" xfId="2726" xr:uid="{925F9D01-33FC-4DFC-B03C-BBB313470C94}"/>
    <cellStyle name="dollar 5 22" xfId="544" xr:uid="{00000000-0005-0000-0000-00001F020000}"/>
    <cellStyle name="dollar 5 22 2" xfId="4801" xr:uid="{F9F03ED2-2026-4B95-86B4-4F6214BA01D0}"/>
    <cellStyle name="dollar 5 22 3" xfId="2727" xr:uid="{48546546-8E95-46B0-B8A3-17D6BAD7E0FE}"/>
    <cellStyle name="dollar 5 23" xfId="545" xr:uid="{00000000-0005-0000-0000-000020020000}"/>
    <cellStyle name="dollar 5 23 2" xfId="4802" xr:uid="{38BAE91E-BA04-4F20-B030-263F04DE8B37}"/>
    <cellStyle name="dollar 5 23 3" xfId="2728" xr:uid="{3E91562B-F37A-4C34-B75F-C8F2C1613DEF}"/>
    <cellStyle name="dollar 5 24" xfId="546" xr:uid="{00000000-0005-0000-0000-000021020000}"/>
    <cellStyle name="dollar 5 24 2" xfId="4803" xr:uid="{C7F30431-D53F-4593-A97C-020439D3F4A5}"/>
    <cellStyle name="dollar 5 24 3" xfId="2729" xr:uid="{1EFA0646-989B-4A04-A44E-3E9375203B75}"/>
    <cellStyle name="dollar 5 25" xfId="547" xr:uid="{00000000-0005-0000-0000-000022020000}"/>
    <cellStyle name="dollar 5 25 2" xfId="4804" xr:uid="{E1B3F2B6-B6E3-446A-A297-B5021C34F2F1}"/>
    <cellStyle name="dollar 5 25 3" xfId="2730" xr:uid="{DEE98DCE-36AF-48CF-BD83-3BE2ABCE8630}"/>
    <cellStyle name="dollar 5 26" xfId="548" xr:uid="{00000000-0005-0000-0000-000023020000}"/>
    <cellStyle name="dollar 5 26 2" xfId="4805" xr:uid="{804D5F43-4794-490B-9F11-DCCF15BCC814}"/>
    <cellStyle name="dollar 5 26 3" xfId="2731" xr:uid="{ECCA40C4-8D34-4B99-8104-6392A9C3353C}"/>
    <cellStyle name="dollar 5 27" xfId="549" xr:uid="{00000000-0005-0000-0000-000024020000}"/>
    <cellStyle name="dollar 5 27 2" xfId="4806" xr:uid="{53C71369-024E-436F-A071-062A33A4B1BD}"/>
    <cellStyle name="dollar 5 27 3" xfId="2732" xr:uid="{2E28F3A4-255A-4824-B9A9-29952522A720}"/>
    <cellStyle name="dollar 5 28" xfId="550" xr:uid="{00000000-0005-0000-0000-000025020000}"/>
    <cellStyle name="dollar 5 28 2" xfId="4807" xr:uid="{5B959EDA-CA72-4187-AB54-B647974DF5FE}"/>
    <cellStyle name="dollar 5 28 3" xfId="2733" xr:uid="{E4E88742-06D0-41D0-AFAF-0340828D6B7E}"/>
    <cellStyle name="dollar 5 29" xfId="551" xr:uid="{00000000-0005-0000-0000-000026020000}"/>
    <cellStyle name="dollar 5 29 2" xfId="4808" xr:uid="{F8D85E41-3125-4CD6-B1CE-1EC18985BC18}"/>
    <cellStyle name="dollar 5 29 3" xfId="2734" xr:uid="{E8737344-FF3D-4B86-9C09-E6D980B4E13E}"/>
    <cellStyle name="dollar 5 3" xfId="552" xr:uid="{00000000-0005-0000-0000-000027020000}"/>
    <cellStyle name="dollar 5 3 2" xfId="4809" xr:uid="{0AD0D8FA-0E81-4EAC-B089-89C3770B470B}"/>
    <cellStyle name="dollar 5 3 3" xfId="2735" xr:uid="{3AAA9728-9CC0-436B-AA8D-314181EA6FD5}"/>
    <cellStyle name="dollar 5 30" xfId="4787" xr:uid="{F37BD58B-EEC1-40DC-BFA3-3669F3460EA4}"/>
    <cellStyle name="dollar 5 31" xfId="2713" xr:uid="{B3328D88-60E7-43A9-9E8E-73BC324F318B}"/>
    <cellStyle name="dollar 5 4" xfId="553" xr:uid="{00000000-0005-0000-0000-000028020000}"/>
    <cellStyle name="dollar 5 4 2" xfId="4810" xr:uid="{51074AB9-6781-4537-88C7-05438D455F09}"/>
    <cellStyle name="dollar 5 4 3" xfId="2736" xr:uid="{8D3288D8-2971-42D4-9C76-24013F746005}"/>
    <cellStyle name="dollar 5 5" xfId="554" xr:uid="{00000000-0005-0000-0000-000029020000}"/>
    <cellStyle name="dollar 5 5 2" xfId="4811" xr:uid="{DDAC05E7-53F5-404C-BAB5-2DAD33604941}"/>
    <cellStyle name="dollar 5 5 3" xfId="2737" xr:uid="{14B86673-0618-4F66-B9A4-1898C000396C}"/>
    <cellStyle name="dollar 5 6" xfId="555" xr:uid="{00000000-0005-0000-0000-00002A020000}"/>
    <cellStyle name="dollar 5 6 2" xfId="4812" xr:uid="{DF7066FD-5C17-4707-AC74-D84CBB889D33}"/>
    <cellStyle name="dollar 5 6 3" xfId="2738" xr:uid="{E03CEE8B-97CF-4BFF-9707-526429DBDBF8}"/>
    <cellStyle name="dollar 5 7" xfId="556" xr:uid="{00000000-0005-0000-0000-00002B020000}"/>
    <cellStyle name="dollar 5 7 2" xfId="4813" xr:uid="{1A702878-5A11-4B39-ADFB-1AA0D805B2F5}"/>
    <cellStyle name="dollar 5 7 3" xfId="2739" xr:uid="{12D5D94B-2480-4FAE-B51E-D2F852DFDFD5}"/>
    <cellStyle name="dollar 5 8" xfId="557" xr:uid="{00000000-0005-0000-0000-00002C020000}"/>
    <cellStyle name="dollar 5 8 2" xfId="4814" xr:uid="{BF47A60E-1206-4ABB-B4F6-D7D9F1034A81}"/>
    <cellStyle name="dollar 5 8 3" xfId="2740" xr:uid="{D8B177B0-C02A-44A0-83CF-17CE043B13FE}"/>
    <cellStyle name="dollar 5 9" xfId="558" xr:uid="{00000000-0005-0000-0000-00002D020000}"/>
    <cellStyle name="dollar 5 9 2" xfId="4815" xr:uid="{D990FE46-7285-4C4A-B594-6CB43C7AEAB1}"/>
    <cellStyle name="dollar 5 9 3" xfId="2741" xr:uid="{1CECB86B-5976-4E72-BCEF-3F2687C499E1}"/>
    <cellStyle name="dollar 6" xfId="559" xr:uid="{00000000-0005-0000-0000-00002E020000}"/>
    <cellStyle name="dollar 6 10" xfId="560" xr:uid="{00000000-0005-0000-0000-00002F020000}"/>
    <cellStyle name="dollar 6 10 2" xfId="4817" xr:uid="{A5258F76-622A-42D9-8211-4E5E1AE23736}"/>
    <cellStyle name="dollar 6 10 3" xfId="2743" xr:uid="{71B22B3D-445B-4BB8-9608-7BB5F980D201}"/>
    <cellStyle name="dollar 6 11" xfId="561" xr:uid="{00000000-0005-0000-0000-000030020000}"/>
    <cellStyle name="dollar 6 11 2" xfId="4818" xr:uid="{AA5D3F0C-1EC3-473D-8D9B-890733BD312B}"/>
    <cellStyle name="dollar 6 11 3" xfId="2744" xr:uid="{9D534A25-A8D0-43F9-87C2-CC15CCCF95B6}"/>
    <cellStyle name="dollar 6 12" xfId="562" xr:uid="{00000000-0005-0000-0000-000031020000}"/>
    <cellStyle name="dollar 6 12 2" xfId="4819" xr:uid="{A1B61CC0-3630-4FD9-87A9-324AEC82FFE2}"/>
    <cellStyle name="dollar 6 12 3" xfId="2745" xr:uid="{98690DED-9F54-41E6-B326-9C91DB513907}"/>
    <cellStyle name="dollar 6 13" xfId="563" xr:uid="{00000000-0005-0000-0000-000032020000}"/>
    <cellStyle name="dollar 6 13 2" xfId="4820" xr:uid="{2FFDA4E8-61AA-4C93-8280-F8598083D67B}"/>
    <cellStyle name="dollar 6 13 3" xfId="2746" xr:uid="{F3D95092-33E5-424E-9129-20C59D25D6D7}"/>
    <cellStyle name="dollar 6 14" xfId="564" xr:uid="{00000000-0005-0000-0000-000033020000}"/>
    <cellStyle name="dollar 6 14 2" xfId="4821" xr:uid="{5029884F-6B81-4624-92AE-C65261003E73}"/>
    <cellStyle name="dollar 6 14 3" xfId="2747" xr:uid="{E5FF7E39-AD93-4153-AC06-F5DFD609E1A3}"/>
    <cellStyle name="dollar 6 15" xfId="565" xr:uid="{00000000-0005-0000-0000-000034020000}"/>
    <cellStyle name="dollar 6 15 2" xfId="4822" xr:uid="{FDF2FC3A-E35A-42DA-8AF4-8976BF1E2859}"/>
    <cellStyle name="dollar 6 15 3" xfId="2748" xr:uid="{0E645942-9B93-470A-917B-A35E6714BBDF}"/>
    <cellStyle name="dollar 6 16" xfId="566" xr:uid="{00000000-0005-0000-0000-000035020000}"/>
    <cellStyle name="dollar 6 16 2" xfId="4823" xr:uid="{E26B299E-4223-4B36-AF59-A0D8795810C2}"/>
    <cellStyle name="dollar 6 16 3" xfId="2749" xr:uid="{4551939A-2BF2-428D-B1DA-FA10C69C53B6}"/>
    <cellStyle name="dollar 6 17" xfId="567" xr:uid="{00000000-0005-0000-0000-000036020000}"/>
    <cellStyle name="dollar 6 17 2" xfId="4824" xr:uid="{DB9B647F-F918-4220-A761-C6661183A87F}"/>
    <cellStyle name="dollar 6 17 3" xfId="2750" xr:uid="{7A9D69B7-766E-462F-B0A8-E28E616BC312}"/>
    <cellStyle name="dollar 6 18" xfId="568" xr:uid="{00000000-0005-0000-0000-000037020000}"/>
    <cellStyle name="dollar 6 18 2" xfId="4825" xr:uid="{75F7E604-38F9-4A7D-9BC6-B14384AFB3D7}"/>
    <cellStyle name="dollar 6 18 3" xfId="2751" xr:uid="{84FC22F8-7CD2-45EA-812E-EAFB0F066D16}"/>
    <cellStyle name="dollar 6 19" xfId="569" xr:uid="{00000000-0005-0000-0000-000038020000}"/>
    <cellStyle name="dollar 6 19 2" xfId="4826" xr:uid="{482EBAE1-1192-4607-A7CD-9CB067FD25A7}"/>
    <cellStyle name="dollar 6 19 3" xfId="2752" xr:uid="{8D0B59FD-02DC-4AF8-BFC5-266CC786B988}"/>
    <cellStyle name="dollar 6 2" xfId="570" xr:uid="{00000000-0005-0000-0000-000039020000}"/>
    <cellStyle name="dollar 6 2 2" xfId="4827" xr:uid="{D67CC533-17FB-4CB0-BC58-A55BB4C09630}"/>
    <cellStyle name="dollar 6 2 3" xfId="2753" xr:uid="{F02D496F-6BEA-40CB-846B-6A01CC05665C}"/>
    <cellStyle name="dollar 6 20" xfId="571" xr:uid="{00000000-0005-0000-0000-00003A020000}"/>
    <cellStyle name="dollar 6 20 2" xfId="4828" xr:uid="{E35396B4-FEC7-4CBB-95E8-3B9E14CF7690}"/>
    <cellStyle name="dollar 6 20 3" xfId="2754" xr:uid="{882D915C-13EA-47E8-AD5B-88B8741DC925}"/>
    <cellStyle name="dollar 6 21" xfId="572" xr:uid="{00000000-0005-0000-0000-00003B020000}"/>
    <cellStyle name="dollar 6 21 2" xfId="4829" xr:uid="{18EBBE77-1BC2-4925-B3F7-B8841501FA91}"/>
    <cellStyle name="dollar 6 21 3" xfId="2755" xr:uid="{790E6C66-CE62-4384-845D-ED087F1B2441}"/>
    <cellStyle name="dollar 6 22" xfId="573" xr:uid="{00000000-0005-0000-0000-00003C020000}"/>
    <cellStyle name="dollar 6 22 2" xfId="4830" xr:uid="{D8ED3947-419B-4CB9-B4DD-0DBAAD50E52D}"/>
    <cellStyle name="dollar 6 22 3" xfId="2756" xr:uid="{B8B507F6-C48C-4F6F-9D8B-BB969C542492}"/>
    <cellStyle name="dollar 6 23" xfId="574" xr:uid="{00000000-0005-0000-0000-00003D020000}"/>
    <cellStyle name="dollar 6 23 2" xfId="4831" xr:uid="{B7046610-43CD-4BC8-9095-BDA659129874}"/>
    <cellStyle name="dollar 6 23 3" xfId="2757" xr:uid="{57F38D7D-3877-4048-BB93-18F61D6090B3}"/>
    <cellStyle name="dollar 6 24" xfId="575" xr:uid="{00000000-0005-0000-0000-00003E020000}"/>
    <cellStyle name="dollar 6 24 2" xfId="4832" xr:uid="{61A2F159-1266-4A55-B233-0DFD042F6F74}"/>
    <cellStyle name="dollar 6 24 3" xfId="2758" xr:uid="{99A21D2F-4F91-41F3-8E9A-B05D7F3DE90F}"/>
    <cellStyle name="dollar 6 25" xfId="576" xr:uid="{00000000-0005-0000-0000-00003F020000}"/>
    <cellStyle name="dollar 6 25 2" xfId="4833" xr:uid="{28AFD12A-D63A-4560-BD5D-0E453EA692E3}"/>
    <cellStyle name="dollar 6 25 3" xfId="2759" xr:uid="{536B1AFE-0489-4088-B929-BB40CD36C9BE}"/>
    <cellStyle name="dollar 6 26" xfId="577" xr:uid="{00000000-0005-0000-0000-000040020000}"/>
    <cellStyle name="dollar 6 26 2" xfId="4834" xr:uid="{F0DE1720-C850-4440-B8E1-EA06B3165A99}"/>
    <cellStyle name="dollar 6 26 3" xfId="2760" xr:uid="{5E0B64CE-CD6F-4E41-A639-5B55EDBB2FA1}"/>
    <cellStyle name="dollar 6 27" xfId="578" xr:uid="{00000000-0005-0000-0000-000041020000}"/>
    <cellStyle name="dollar 6 27 2" xfId="4835" xr:uid="{EE26A648-3536-4830-BF0F-67F056436B35}"/>
    <cellStyle name="dollar 6 27 3" xfId="2761" xr:uid="{D86CB20A-B372-4492-9071-84A229328C15}"/>
    <cellStyle name="dollar 6 28" xfId="579" xr:uid="{00000000-0005-0000-0000-000042020000}"/>
    <cellStyle name="dollar 6 28 2" xfId="4836" xr:uid="{CF19EC66-5054-4AD1-9101-3396C3BE74AE}"/>
    <cellStyle name="dollar 6 28 3" xfId="2762" xr:uid="{15886F2D-0A0A-4D73-9BFA-E45E50644182}"/>
    <cellStyle name="dollar 6 29" xfId="580" xr:uid="{00000000-0005-0000-0000-000043020000}"/>
    <cellStyle name="dollar 6 29 2" xfId="4837" xr:uid="{23D5A274-22A2-48FA-BC76-09D282B08485}"/>
    <cellStyle name="dollar 6 29 3" xfId="2763" xr:uid="{BB07CAD7-09EE-4F69-A297-7F0EF330D692}"/>
    <cellStyle name="dollar 6 3" xfId="581" xr:uid="{00000000-0005-0000-0000-000044020000}"/>
    <cellStyle name="dollar 6 3 2" xfId="4838" xr:uid="{45BBDC91-5C4F-45A7-969A-0D1C626D152D}"/>
    <cellStyle name="dollar 6 3 3" xfId="2764" xr:uid="{00B22956-0315-48CD-A0CF-2476E98232B6}"/>
    <cellStyle name="dollar 6 30" xfId="4816" xr:uid="{BADA5544-AA3F-4B7E-AAD2-C9572F01A86A}"/>
    <cellStyle name="dollar 6 31" xfId="2742" xr:uid="{16C439AA-20B1-48B0-A2A0-3B811E4A782D}"/>
    <cellStyle name="dollar 6 4" xfId="582" xr:uid="{00000000-0005-0000-0000-000045020000}"/>
    <cellStyle name="dollar 6 4 2" xfId="4839" xr:uid="{35B83AC5-CCA1-4C64-B4EA-DBD047066261}"/>
    <cellStyle name="dollar 6 4 3" xfId="2765" xr:uid="{E930E33E-4D20-45F2-AEEE-68D27AF3A398}"/>
    <cellStyle name="dollar 6 5" xfId="583" xr:uid="{00000000-0005-0000-0000-000046020000}"/>
    <cellStyle name="dollar 6 5 2" xfId="4840" xr:uid="{DF87824C-C787-417D-81A2-E29FB6B20C0B}"/>
    <cellStyle name="dollar 6 5 3" xfId="2766" xr:uid="{70D3C376-9BF0-45E9-8163-E5218CBD288C}"/>
    <cellStyle name="dollar 6 6" xfId="584" xr:uid="{00000000-0005-0000-0000-000047020000}"/>
    <cellStyle name="dollar 6 6 2" xfId="4841" xr:uid="{2CBC5CCA-CB84-41C0-86E1-5C6D8AC59D29}"/>
    <cellStyle name="dollar 6 6 3" xfId="2767" xr:uid="{89AE6521-624A-4182-80B0-4F6CAF7AF8A8}"/>
    <cellStyle name="dollar 6 7" xfId="585" xr:uid="{00000000-0005-0000-0000-000048020000}"/>
    <cellStyle name="dollar 6 7 2" xfId="4842" xr:uid="{701F0103-5911-434F-8E54-9F4295AA362B}"/>
    <cellStyle name="dollar 6 7 3" xfId="2768" xr:uid="{62D0DE12-FF56-4B44-8D96-C3ADCEA3028C}"/>
    <cellStyle name="dollar 6 8" xfId="586" xr:uid="{00000000-0005-0000-0000-000049020000}"/>
    <cellStyle name="dollar 6 8 2" xfId="4843" xr:uid="{F4CB6455-77AD-46B1-A5C7-52C7EDD8CFFB}"/>
    <cellStyle name="dollar 6 8 3" xfId="2769" xr:uid="{E5B25E43-8BE2-449F-A5BA-A5BD4E5DFA32}"/>
    <cellStyle name="dollar 6 9" xfId="587" xr:uid="{00000000-0005-0000-0000-00004A020000}"/>
    <cellStyle name="dollar 6 9 2" xfId="4844" xr:uid="{79BCC64C-70A1-464E-AF49-EF8849AEF0F5}"/>
    <cellStyle name="dollar 6 9 3" xfId="2770" xr:uid="{29AC6356-DCB8-4425-94F1-11B4CA2ED8A2}"/>
    <cellStyle name="dollar 7" xfId="4699" xr:uid="{4E3758E1-D878-4FA7-9B6F-EBEF9C58DF06}"/>
    <cellStyle name="dollar 8" xfId="2625" xr:uid="{085950BE-282D-4F42-B2AE-16CCAEE0BFE8}"/>
    <cellStyle name="Entered" xfId="588" xr:uid="{00000000-0005-0000-0000-00004B020000}"/>
    <cellStyle name="Euro" xfId="589" xr:uid="{00000000-0005-0000-0000-00004C020000}"/>
    <cellStyle name="Euro 2" xfId="590" xr:uid="{00000000-0005-0000-0000-00004D020000}"/>
    <cellStyle name="Euro 2 10" xfId="591" xr:uid="{00000000-0005-0000-0000-00004E020000}"/>
    <cellStyle name="Euro 2 10 2" xfId="4847" xr:uid="{3F53DCA1-63BE-4079-9F3A-E49B7B59BDD8}"/>
    <cellStyle name="Euro 2 10 3" xfId="2773" xr:uid="{F3B8BBD9-041D-404E-B553-D37001277B8A}"/>
    <cellStyle name="Euro 2 11" xfId="592" xr:uid="{00000000-0005-0000-0000-00004F020000}"/>
    <cellStyle name="Euro 2 11 2" xfId="4848" xr:uid="{D14FEDC2-6589-4295-BD21-93B4A8EF9FBD}"/>
    <cellStyle name="Euro 2 11 3" xfId="2774" xr:uid="{CEF0002B-1C89-4E4C-BED4-0B506A7633B3}"/>
    <cellStyle name="Euro 2 12" xfId="593" xr:uid="{00000000-0005-0000-0000-000050020000}"/>
    <cellStyle name="Euro 2 12 2" xfId="4849" xr:uid="{73604729-8BA7-44BB-B1F6-B33BEBF56A17}"/>
    <cellStyle name="Euro 2 12 3" xfId="2775" xr:uid="{E33D2CE3-1F5A-4055-8865-52293369757A}"/>
    <cellStyle name="Euro 2 13" xfId="594" xr:uid="{00000000-0005-0000-0000-000051020000}"/>
    <cellStyle name="Euro 2 13 2" xfId="4850" xr:uid="{D6F64817-087C-474F-9EE3-2E9270B40A94}"/>
    <cellStyle name="Euro 2 13 3" xfId="2776" xr:uid="{D50891DF-6AA9-4537-B0D1-F8C07D01E742}"/>
    <cellStyle name="Euro 2 14" xfId="595" xr:uid="{00000000-0005-0000-0000-000052020000}"/>
    <cellStyle name="Euro 2 14 2" xfId="4851" xr:uid="{62740EF0-8723-4A3A-9850-B655FB2AAEC2}"/>
    <cellStyle name="Euro 2 14 3" xfId="2777" xr:uid="{2162F1AF-36AD-4323-9C79-2855362740A7}"/>
    <cellStyle name="Euro 2 15" xfId="596" xr:uid="{00000000-0005-0000-0000-000053020000}"/>
    <cellStyle name="Euro 2 15 2" xfId="4852" xr:uid="{1FE61F93-3F68-4FBC-BEC8-B37F4901528D}"/>
    <cellStyle name="Euro 2 15 3" xfId="2778" xr:uid="{5CB6BFFF-EC62-4FEA-8696-BD954C8D5782}"/>
    <cellStyle name="Euro 2 16" xfId="597" xr:uid="{00000000-0005-0000-0000-000054020000}"/>
    <cellStyle name="Euro 2 16 2" xfId="4853" xr:uid="{0F781D35-0F1E-49A4-A6B1-2E5D99877D03}"/>
    <cellStyle name="Euro 2 16 3" xfId="2779" xr:uid="{C0CF4A50-4C1B-4352-A871-01024CE9308C}"/>
    <cellStyle name="Euro 2 17" xfId="598" xr:uid="{00000000-0005-0000-0000-000055020000}"/>
    <cellStyle name="Euro 2 17 2" xfId="4854" xr:uid="{89374BED-A09B-4EC6-B309-DC98F707907B}"/>
    <cellStyle name="Euro 2 17 3" xfId="2780" xr:uid="{C7418E9C-76DA-4020-9E11-AF3098609096}"/>
    <cellStyle name="Euro 2 18" xfId="599" xr:uid="{00000000-0005-0000-0000-000056020000}"/>
    <cellStyle name="Euro 2 18 2" xfId="4855" xr:uid="{48F76CAC-B72F-4E23-9A3B-10E3366F2763}"/>
    <cellStyle name="Euro 2 18 3" xfId="2781" xr:uid="{BCC4CCDE-AF4B-40EF-8AEB-29CDA384EF01}"/>
    <cellStyle name="Euro 2 19" xfId="600" xr:uid="{00000000-0005-0000-0000-000057020000}"/>
    <cellStyle name="Euro 2 19 2" xfId="4856" xr:uid="{98498A8D-E045-459C-91B5-C666BD4C3AF3}"/>
    <cellStyle name="Euro 2 19 3" xfId="2782" xr:uid="{64F78377-AEB8-439C-882C-FBDA0A86CDA8}"/>
    <cellStyle name="Euro 2 2" xfId="601" xr:uid="{00000000-0005-0000-0000-000058020000}"/>
    <cellStyle name="Euro 2 2 2" xfId="4857" xr:uid="{428CF0D1-9D0D-4228-93B4-9C0A55B37B5D}"/>
    <cellStyle name="Euro 2 2 3" xfId="2783" xr:uid="{39AAB168-467B-4DB0-97D4-7AFFCADE01E8}"/>
    <cellStyle name="Euro 2 20" xfId="602" xr:uid="{00000000-0005-0000-0000-000059020000}"/>
    <cellStyle name="Euro 2 20 2" xfId="4858" xr:uid="{581F524E-F13D-4642-8225-C430D0E39CF9}"/>
    <cellStyle name="Euro 2 20 3" xfId="2784" xr:uid="{755D1974-B783-4732-BDE5-4FDEDEEE3404}"/>
    <cellStyle name="Euro 2 21" xfId="603" xr:uid="{00000000-0005-0000-0000-00005A020000}"/>
    <cellStyle name="Euro 2 21 2" xfId="4859" xr:uid="{70247B34-5F87-4CAE-B63D-B55BE651BECC}"/>
    <cellStyle name="Euro 2 21 3" xfId="2785" xr:uid="{2CEC713C-143C-4908-B4E2-B5D753EF03F2}"/>
    <cellStyle name="Euro 2 22" xfId="604" xr:uid="{00000000-0005-0000-0000-00005B020000}"/>
    <cellStyle name="Euro 2 22 2" xfId="4860" xr:uid="{BE366256-9E83-498C-B828-0458738C3ACD}"/>
    <cellStyle name="Euro 2 22 3" xfId="2786" xr:uid="{8C978FBC-45F9-444C-9916-6353F7185568}"/>
    <cellStyle name="Euro 2 23" xfId="605" xr:uid="{00000000-0005-0000-0000-00005C020000}"/>
    <cellStyle name="Euro 2 23 2" xfId="4861" xr:uid="{08AC1E93-57D6-4560-93B4-59DA5B30C0C4}"/>
    <cellStyle name="Euro 2 23 3" xfId="2787" xr:uid="{E0E0E17D-448E-4E63-89FC-A9E0B9D495FD}"/>
    <cellStyle name="Euro 2 24" xfId="606" xr:uid="{00000000-0005-0000-0000-00005D020000}"/>
    <cellStyle name="Euro 2 24 2" xfId="4862" xr:uid="{A975A220-3506-45C9-BBB9-49F4023CA5D1}"/>
    <cellStyle name="Euro 2 24 3" xfId="2788" xr:uid="{9775E7CD-4835-4EF9-A04A-9EC4CCE9F251}"/>
    <cellStyle name="Euro 2 25" xfId="607" xr:uid="{00000000-0005-0000-0000-00005E020000}"/>
    <cellStyle name="Euro 2 25 2" xfId="4863" xr:uid="{D27956C8-3F21-4B92-BC01-91617FD0BBDE}"/>
    <cellStyle name="Euro 2 25 3" xfId="2789" xr:uid="{C939A89F-A69E-4386-97B7-258353BC0EFD}"/>
    <cellStyle name="Euro 2 26" xfId="608" xr:uid="{00000000-0005-0000-0000-00005F020000}"/>
    <cellStyle name="Euro 2 26 2" xfId="4864" xr:uid="{3C189517-B337-4BE7-97EA-D853E61CF1ED}"/>
    <cellStyle name="Euro 2 26 3" xfId="2790" xr:uid="{30D3D0AE-16DD-4C12-93C2-6E26B029DEDE}"/>
    <cellStyle name="Euro 2 27" xfId="609" xr:uid="{00000000-0005-0000-0000-000060020000}"/>
    <cellStyle name="Euro 2 27 2" xfId="4865" xr:uid="{1DD4BC94-2ACA-4DC9-BB2C-E82894ABE8BC}"/>
    <cellStyle name="Euro 2 27 3" xfId="2791" xr:uid="{8B70A9BF-3109-4D23-A887-CFAE79FDF74A}"/>
    <cellStyle name="Euro 2 28" xfId="610" xr:uid="{00000000-0005-0000-0000-000061020000}"/>
    <cellStyle name="Euro 2 28 2" xfId="4866" xr:uid="{BE92F2BE-EFBC-47D8-9EB8-05B3A52F77A8}"/>
    <cellStyle name="Euro 2 28 3" xfId="2792" xr:uid="{912F2686-4CE7-49FE-98D5-393479B89BA0}"/>
    <cellStyle name="Euro 2 29" xfId="611" xr:uid="{00000000-0005-0000-0000-000062020000}"/>
    <cellStyle name="Euro 2 29 2" xfId="4867" xr:uid="{3CB31261-1F18-49F3-8304-0D2C4340E625}"/>
    <cellStyle name="Euro 2 29 3" xfId="2793" xr:uid="{43367BBD-5E37-4A29-A899-B650149772FC}"/>
    <cellStyle name="Euro 2 3" xfId="612" xr:uid="{00000000-0005-0000-0000-000063020000}"/>
    <cellStyle name="Euro 2 3 2" xfId="4868" xr:uid="{C9F77DB1-B9E6-4C0F-94E4-0A474DA151D5}"/>
    <cellStyle name="Euro 2 3 3" xfId="2794" xr:uid="{D51727EC-8A53-4CE5-BCF3-426EE421D217}"/>
    <cellStyle name="Euro 2 30" xfId="4846" xr:uid="{A8286998-F251-468F-9335-B8D78D52C899}"/>
    <cellStyle name="Euro 2 31" xfId="2772" xr:uid="{9E5D6768-F11A-4D7A-A557-AF4E8B684338}"/>
    <cellStyle name="Euro 2 4" xfId="613" xr:uid="{00000000-0005-0000-0000-000064020000}"/>
    <cellStyle name="Euro 2 4 2" xfId="4869" xr:uid="{2CAC153E-770D-4216-AE83-976269B13391}"/>
    <cellStyle name="Euro 2 4 3" xfId="2795" xr:uid="{F2F00A4C-3206-404E-9723-119F153ECA99}"/>
    <cellStyle name="Euro 2 5" xfId="614" xr:uid="{00000000-0005-0000-0000-000065020000}"/>
    <cellStyle name="Euro 2 5 2" xfId="4870" xr:uid="{4668AB2E-FB07-4263-9C1E-370EE8BF457C}"/>
    <cellStyle name="Euro 2 5 3" xfId="2796" xr:uid="{38D00F85-9699-47B9-B8A6-1DEAF42DFE58}"/>
    <cellStyle name="Euro 2 6" xfId="615" xr:uid="{00000000-0005-0000-0000-000066020000}"/>
    <cellStyle name="Euro 2 6 2" xfId="4871" xr:uid="{F698F673-D83B-4DAB-BD55-136E51C6DA42}"/>
    <cellStyle name="Euro 2 6 3" xfId="2797" xr:uid="{26BE8254-DDA5-4602-82DE-5977A76F284F}"/>
    <cellStyle name="Euro 2 7" xfId="616" xr:uid="{00000000-0005-0000-0000-000067020000}"/>
    <cellStyle name="Euro 2 7 2" xfId="4872" xr:uid="{1401B450-D1DF-4972-83F2-CD106B0F4F56}"/>
    <cellStyle name="Euro 2 7 3" xfId="2798" xr:uid="{94AE13F6-A70A-4F25-A97A-F96A01A5FBF9}"/>
    <cellStyle name="Euro 2 8" xfId="617" xr:uid="{00000000-0005-0000-0000-000068020000}"/>
    <cellStyle name="Euro 2 8 2" xfId="4873" xr:uid="{F8F8E1B2-E41E-4FD1-A5B3-0E30CE446034}"/>
    <cellStyle name="Euro 2 8 3" xfId="2799" xr:uid="{CF1D3B44-EAB9-4FA0-845B-F91FA790EA88}"/>
    <cellStyle name="Euro 2 9" xfId="618" xr:uid="{00000000-0005-0000-0000-000069020000}"/>
    <cellStyle name="Euro 2 9 2" xfId="4874" xr:uid="{CB3D8E87-BA4E-462F-83CB-05308B119013}"/>
    <cellStyle name="Euro 2 9 3" xfId="2800" xr:uid="{A5429640-D0FE-494C-9852-2541A6DBE01F}"/>
    <cellStyle name="Euro 3" xfId="619" xr:uid="{00000000-0005-0000-0000-00006A020000}"/>
    <cellStyle name="Euro 3 10" xfId="620" xr:uid="{00000000-0005-0000-0000-00006B020000}"/>
    <cellStyle name="Euro 3 10 2" xfId="4876" xr:uid="{1205DFEE-985D-419C-A620-114F2F65A876}"/>
    <cellStyle name="Euro 3 10 3" xfId="2802" xr:uid="{8F4AB3D1-FEBC-4657-B9A5-318BC4FB8145}"/>
    <cellStyle name="Euro 3 11" xfId="621" xr:uid="{00000000-0005-0000-0000-00006C020000}"/>
    <cellStyle name="Euro 3 11 2" xfId="4877" xr:uid="{B676ABB1-253B-4D83-B00E-BD72E81EE75B}"/>
    <cellStyle name="Euro 3 11 3" xfId="2803" xr:uid="{4BAA98A5-0AA7-4F4C-B496-6454DBF75093}"/>
    <cellStyle name="Euro 3 12" xfId="622" xr:uid="{00000000-0005-0000-0000-00006D020000}"/>
    <cellStyle name="Euro 3 12 2" xfId="4878" xr:uid="{ED11DC86-9A4F-4678-8C6F-227FD04DAC20}"/>
    <cellStyle name="Euro 3 12 3" xfId="2804" xr:uid="{67E5964E-CFEF-4921-8462-65255A15F3A1}"/>
    <cellStyle name="Euro 3 13" xfId="623" xr:uid="{00000000-0005-0000-0000-00006E020000}"/>
    <cellStyle name="Euro 3 13 2" xfId="4879" xr:uid="{40FB6B7A-EA77-45DD-85B1-DB4349EA7288}"/>
    <cellStyle name="Euro 3 13 3" xfId="2805" xr:uid="{2AB62158-F569-460F-8A76-4D7E5F09F005}"/>
    <cellStyle name="Euro 3 14" xfId="624" xr:uid="{00000000-0005-0000-0000-00006F020000}"/>
    <cellStyle name="Euro 3 14 2" xfId="4880" xr:uid="{03BF270E-7C7D-4D18-B6C8-6B2111CBE842}"/>
    <cellStyle name="Euro 3 14 3" xfId="2806" xr:uid="{DBD6A8F7-4688-42AE-98FA-098138AFCF10}"/>
    <cellStyle name="Euro 3 15" xfId="625" xr:uid="{00000000-0005-0000-0000-000070020000}"/>
    <cellStyle name="Euro 3 15 2" xfId="4881" xr:uid="{C52A154B-DAC0-45BD-8CE3-C41E1118B06F}"/>
    <cellStyle name="Euro 3 15 3" xfId="2807" xr:uid="{CE02ED50-807F-4E51-9B51-D30462F48804}"/>
    <cellStyle name="Euro 3 16" xfId="626" xr:uid="{00000000-0005-0000-0000-000071020000}"/>
    <cellStyle name="Euro 3 16 2" xfId="4882" xr:uid="{5B24E7EE-00E0-4A02-9984-EA8864F0F5F6}"/>
    <cellStyle name="Euro 3 16 3" xfId="2808" xr:uid="{60FCC0F9-356B-496B-BF6A-72D289B07BB4}"/>
    <cellStyle name="Euro 3 17" xfId="627" xr:uid="{00000000-0005-0000-0000-000072020000}"/>
    <cellStyle name="Euro 3 17 2" xfId="4883" xr:uid="{850556FE-77CC-4F25-9809-BB58532B6663}"/>
    <cellStyle name="Euro 3 17 3" xfId="2809" xr:uid="{F72AF228-C41B-4EB8-AF46-F07C54E2CE05}"/>
    <cellStyle name="Euro 3 18" xfId="628" xr:uid="{00000000-0005-0000-0000-000073020000}"/>
    <cellStyle name="Euro 3 18 2" xfId="4884" xr:uid="{70BCCEF3-A710-4DBD-8970-5B26A25A2D14}"/>
    <cellStyle name="Euro 3 18 3" xfId="2810" xr:uid="{A13BB0B3-5251-438C-93D9-5C36449A7251}"/>
    <cellStyle name="Euro 3 19" xfId="629" xr:uid="{00000000-0005-0000-0000-000074020000}"/>
    <cellStyle name="Euro 3 19 2" xfId="4885" xr:uid="{8441F360-F98B-4D4E-A10E-1EADEB9EE1AC}"/>
    <cellStyle name="Euro 3 19 3" xfId="2811" xr:uid="{BE254407-EB70-4572-BD94-B2B54398DE44}"/>
    <cellStyle name="Euro 3 2" xfId="630" xr:uid="{00000000-0005-0000-0000-000075020000}"/>
    <cellStyle name="Euro 3 2 2" xfId="4886" xr:uid="{366162F8-B7D5-4D16-ACCD-B384A21A59A4}"/>
    <cellStyle name="Euro 3 2 3" xfId="2812" xr:uid="{5D87C31C-4A9D-47A0-A8C3-D237E049AA92}"/>
    <cellStyle name="Euro 3 20" xfId="631" xr:uid="{00000000-0005-0000-0000-000076020000}"/>
    <cellStyle name="Euro 3 20 2" xfId="4887" xr:uid="{38451FF2-5F0C-46B5-8465-F67DB222C955}"/>
    <cellStyle name="Euro 3 20 3" xfId="2813" xr:uid="{7D610BFF-7732-44F9-96FB-3EBB806B2024}"/>
    <cellStyle name="Euro 3 21" xfId="632" xr:uid="{00000000-0005-0000-0000-000077020000}"/>
    <cellStyle name="Euro 3 21 2" xfId="4888" xr:uid="{59C6D143-7E25-401A-A5C0-EA2709C4F96B}"/>
    <cellStyle name="Euro 3 21 3" xfId="2814" xr:uid="{51FF9E6A-D89A-44A1-87A2-D84E2A33BB89}"/>
    <cellStyle name="Euro 3 22" xfId="633" xr:uid="{00000000-0005-0000-0000-000078020000}"/>
    <cellStyle name="Euro 3 22 2" xfId="4889" xr:uid="{B9B716C6-5267-4990-8A51-B76C9B5377A7}"/>
    <cellStyle name="Euro 3 22 3" xfId="2815" xr:uid="{8B8E94B4-73B9-40A5-9CB5-077480668883}"/>
    <cellStyle name="Euro 3 23" xfId="634" xr:uid="{00000000-0005-0000-0000-000079020000}"/>
    <cellStyle name="Euro 3 23 2" xfId="4890" xr:uid="{282A5E1B-F656-4EC0-B1D7-6C31B452A22E}"/>
    <cellStyle name="Euro 3 23 3" xfId="2816" xr:uid="{1E261519-A9F4-4E9F-AB05-CA257E0672D3}"/>
    <cellStyle name="Euro 3 24" xfId="635" xr:uid="{00000000-0005-0000-0000-00007A020000}"/>
    <cellStyle name="Euro 3 24 2" xfId="4891" xr:uid="{6AE4BF03-1E29-4570-AA29-4B69E794B7DF}"/>
    <cellStyle name="Euro 3 24 3" xfId="2817" xr:uid="{17CF7BE9-C0CA-4029-990E-58C5E0D0CDAD}"/>
    <cellStyle name="Euro 3 25" xfId="636" xr:uid="{00000000-0005-0000-0000-00007B020000}"/>
    <cellStyle name="Euro 3 25 2" xfId="4892" xr:uid="{12862FAC-240F-422C-974D-F3AE4B22A908}"/>
    <cellStyle name="Euro 3 25 3" xfId="2818" xr:uid="{0EB2BB8F-4659-4339-B0B0-995E097CAF41}"/>
    <cellStyle name="Euro 3 26" xfId="637" xr:uid="{00000000-0005-0000-0000-00007C020000}"/>
    <cellStyle name="Euro 3 26 2" xfId="4893" xr:uid="{F6663194-908C-4D93-876E-328BDF5BAF11}"/>
    <cellStyle name="Euro 3 26 3" xfId="2819" xr:uid="{450C4944-3103-440F-A376-2A294A786C10}"/>
    <cellStyle name="Euro 3 27" xfId="638" xr:uid="{00000000-0005-0000-0000-00007D020000}"/>
    <cellStyle name="Euro 3 27 2" xfId="4894" xr:uid="{9AD892AC-5088-412C-BA6C-60E4D0C4757C}"/>
    <cellStyle name="Euro 3 27 3" xfId="2820" xr:uid="{4DE791D7-0DE1-4A13-9A02-84D1798B7781}"/>
    <cellStyle name="Euro 3 28" xfId="639" xr:uid="{00000000-0005-0000-0000-00007E020000}"/>
    <cellStyle name="Euro 3 28 2" xfId="4895" xr:uid="{167573F7-B566-4616-8A26-577D03972B45}"/>
    <cellStyle name="Euro 3 28 3" xfId="2821" xr:uid="{9105C86E-E5D8-4597-9B75-0119777D13B9}"/>
    <cellStyle name="Euro 3 29" xfId="640" xr:uid="{00000000-0005-0000-0000-00007F020000}"/>
    <cellStyle name="Euro 3 29 2" xfId="4896" xr:uid="{5ABEC4D4-DDF9-4CAB-AC53-088833C67E85}"/>
    <cellStyle name="Euro 3 29 3" xfId="2822" xr:uid="{C5DF0EE9-D330-4459-BF59-AAD503BF198A}"/>
    <cellStyle name="Euro 3 3" xfId="641" xr:uid="{00000000-0005-0000-0000-000080020000}"/>
    <cellStyle name="Euro 3 3 2" xfId="4897" xr:uid="{D166A768-7DED-4179-8C05-E5EA58EE2FD5}"/>
    <cellStyle name="Euro 3 3 3" xfId="2823" xr:uid="{E732CC05-A64A-4D5D-9025-9BBEAF7448E1}"/>
    <cellStyle name="Euro 3 30" xfId="4875" xr:uid="{B34B03AF-C036-4335-82E5-B8CC6C2F064D}"/>
    <cellStyle name="Euro 3 31" xfId="2801" xr:uid="{6C87CBF2-29AA-4546-8A7E-E6AAD63C3495}"/>
    <cellStyle name="Euro 3 4" xfId="642" xr:uid="{00000000-0005-0000-0000-000081020000}"/>
    <cellStyle name="Euro 3 4 2" xfId="4898" xr:uid="{FEA1A40E-6C43-4F56-824C-566CC527A55A}"/>
    <cellStyle name="Euro 3 4 3" xfId="2824" xr:uid="{4B0C9E3A-9290-4940-8572-44F603796175}"/>
    <cellStyle name="Euro 3 5" xfId="643" xr:uid="{00000000-0005-0000-0000-000082020000}"/>
    <cellStyle name="Euro 3 5 2" xfId="4899" xr:uid="{188C067B-42DF-4CF9-9A77-59E245536CE4}"/>
    <cellStyle name="Euro 3 5 3" xfId="2825" xr:uid="{6B65D50C-3028-41A2-8450-468ABE2C86E5}"/>
    <cellStyle name="Euro 3 6" xfId="644" xr:uid="{00000000-0005-0000-0000-000083020000}"/>
    <cellStyle name="Euro 3 6 2" xfId="4900" xr:uid="{4B880494-20F0-4ADC-9735-4E93EB1C54A7}"/>
    <cellStyle name="Euro 3 6 3" xfId="2826" xr:uid="{B92238F6-419F-4AC4-A849-604043E47365}"/>
    <cellStyle name="Euro 3 7" xfId="645" xr:uid="{00000000-0005-0000-0000-000084020000}"/>
    <cellStyle name="Euro 3 7 2" xfId="4901" xr:uid="{E6E30347-03C3-4C4D-8236-0236C4638313}"/>
    <cellStyle name="Euro 3 7 3" xfId="2827" xr:uid="{0A599AB2-823D-4C66-AA71-09929AE747FE}"/>
    <cellStyle name="Euro 3 8" xfId="646" xr:uid="{00000000-0005-0000-0000-000085020000}"/>
    <cellStyle name="Euro 3 8 2" xfId="4902" xr:uid="{1BF60E92-A074-4911-810D-BDCE7CEE3905}"/>
    <cellStyle name="Euro 3 8 3" xfId="2828" xr:uid="{032A6762-DFA2-4848-B138-5A2D7F0C5579}"/>
    <cellStyle name="Euro 3 9" xfId="647" xr:uid="{00000000-0005-0000-0000-000086020000}"/>
    <cellStyle name="Euro 3 9 2" xfId="4903" xr:uid="{8C888F1F-499D-43B9-9449-DEED208C6ED6}"/>
    <cellStyle name="Euro 3 9 3" xfId="2829" xr:uid="{6715A7B6-59BF-4BAF-AD4B-B54DA5A87035}"/>
    <cellStyle name="Euro 4" xfId="648" xr:uid="{00000000-0005-0000-0000-000087020000}"/>
    <cellStyle name="Euro 4 10" xfId="649" xr:uid="{00000000-0005-0000-0000-000088020000}"/>
    <cellStyle name="Euro 4 10 2" xfId="4905" xr:uid="{5D76711A-E93D-466E-BC60-0265CA7375D7}"/>
    <cellStyle name="Euro 4 10 3" xfId="2831" xr:uid="{E7F9979E-89AB-407E-BC3D-4C17A2BF7C4D}"/>
    <cellStyle name="Euro 4 11" xfId="650" xr:uid="{00000000-0005-0000-0000-000089020000}"/>
    <cellStyle name="Euro 4 11 2" xfId="4906" xr:uid="{F6CC1719-6484-480E-91D4-2C5C422BCF39}"/>
    <cellStyle name="Euro 4 11 3" xfId="2832" xr:uid="{B41B6046-20CC-4B0F-A42B-2DEF6C421B3B}"/>
    <cellStyle name="Euro 4 12" xfId="651" xr:uid="{00000000-0005-0000-0000-00008A020000}"/>
    <cellStyle name="Euro 4 12 2" xfId="4907" xr:uid="{4C31502C-B0C5-4C60-A833-413087C6C3D4}"/>
    <cellStyle name="Euro 4 12 3" xfId="2833" xr:uid="{5C8F26A9-5E3A-4A45-A6D1-8AE71A943486}"/>
    <cellStyle name="Euro 4 13" xfId="652" xr:uid="{00000000-0005-0000-0000-00008B020000}"/>
    <cellStyle name="Euro 4 13 2" xfId="4908" xr:uid="{E6CA5074-F591-4CC9-8D68-17D11B22F343}"/>
    <cellStyle name="Euro 4 13 3" xfId="2834" xr:uid="{E829348B-2CA9-45A9-86BB-A9F406297E34}"/>
    <cellStyle name="Euro 4 14" xfId="653" xr:uid="{00000000-0005-0000-0000-00008C020000}"/>
    <cellStyle name="Euro 4 14 2" xfId="4909" xr:uid="{3B1113DB-F690-4769-A825-DEECEBEF4BA1}"/>
    <cellStyle name="Euro 4 14 3" xfId="2835" xr:uid="{314D2073-F002-445F-9C1B-491163249421}"/>
    <cellStyle name="Euro 4 15" xfId="654" xr:uid="{00000000-0005-0000-0000-00008D020000}"/>
    <cellStyle name="Euro 4 15 2" xfId="4910" xr:uid="{6A4FEF31-4A96-4076-812C-2FD481CB312D}"/>
    <cellStyle name="Euro 4 15 3" xfId="2836" xr:uid="{19759949-A7A7-46B7-B190-EE6543DF906B}"/>
    <cellStyle name="Euro 4 16" xfId="655" xr:uid="{00000000-0005-0000-0000-00008E020000}"/>
    <cellStyle name="Euro 4 16 2" xfId="4911" xr:uid="{8FFADAF0-D89D-4F7E-A209-A98C98F4A584}"/>
    <cellStyle name="Euro 4 16 3" xfId="2837" xr:uid="{2A458615-9B5B-4819-9D32-CFEBCE82A2E3}"/>
    <cellStyle name="Euro 4 17" xfId="656" xr:uid="{00000000-0005-0000-0000-00008F020000}"/>
    <cellStyle name="Euro 4 17 2" xfId="4912" xr:uid="{A5AE4B54-8A44-4704-BF52-1CB0BEEB2956}"/>
    <cellStyle name="Euro 4 17 3" xfId="2838" xr:uid="{ECDE8A1A-95A4-4F59-8152-FAEA887D435C}"/>
    <cellStyle name="Euro 4 18" xfId="657" xr:uid="{00000000-0005-0000-0000-000090020000}"/>
    <cellStyle name="Euro 4 18 2" xfId="4913" xr:uid="{C8F551CC-C3D5-4779-ACEC-A6439A0F44E4}"/>
    <cellStyle name="Euro 4 18 3" xfId="2839" xr:uid="{8FF09C92-C34B-402E-A3A0-FD1CD6BC2B3E}"/>
    <cellStyle name="Euro 4 19" xfId="658" xr:uid="{00000000-0005-0000-0000-000091020000}"/>
    <cellStyle name="Euro 4 19 2" xfId="4914" xr:uid="{80A499DF-E686-406D-B7ED-2A9FB7A39663}"/>
    <cellStyle name="Euro 4 19 3" xfId="2840" xr:uid="{0DACB1A4-E0AF-44DE-8454-8272C0DE7F9A}"/>
    <cellStyle name="Euro 4 2" xfId="659" xr:uid="{00000000-0005-0000-0000-000092020000}"/>
    <cellStyle name="Euro 4 2 2" xfId="4915" xr:uid="{64ED75A2-5A5C-4AC2-819F-2ACFB4991F8B}"/>
    <cellStyle name="Euro 4 2 3" xfId="2841" xr:uid="{ADB3720C-7B74-4C35-A237-71A9C22DA393}"/>
    <cellStyle name="Euro 4 20" xfId="660" xr:uid="{00000000-0005-0000-0000-000093020000}"/>
    <cellStyle name="Euro 4 20 2" xfId="4916" xr:uid="{A5096C24-FB49-424A-BB2B-FB74E5034770}"/>
    <cellStyle name="Euro 4 20 3" xfId="2842" xr:uid="{F1CEFCE9-4AEE-4FB2-8993-1D16B9B5DA9E}"/>
    <cellStyle name="Euro 4 21" xfId="661" xr:uid="{00000000-0005-0000-0000-000094020000}"/>
    <cellStyle name="Euro 4 21 2" xfId="4917" xr:uid="{F1FFDC7D-589F-4C9B-BA08-F0ED8CFF37E4}"/>
    <cellStyle name="Euro 4 21 3" xfId="2843" xr:uid="{A2EB2740-F931-47BF-8B62-6014515A0A36}"/>
    <cellStyle name="Euro 4 22" xfId="662" xr:uid="{00000000-0005-0000-0000-000095020000}"/>
    <cellStyle name="Euro 4 22 2" xfId="4918" xr:uid="{059D3FE8-2513-48F0-A351-1DA24DFE7ABA}"/>
    <cellStyle name="Euro 4 22 3" xfId="2844" xr:uid="{3CB5DAAC-EFC7-4C61-8ADC-B090CE482FDC}"/>
    <cellStyle name="Euro 4 23" xfId="663" xr:uid="{00000000-0005-0000-0000-000096020000}"/>
    <cellStyle name="Euro 4 23 2" xfId="4919" xr:uid="{E819B205-78F6-4317-9F8A-E26AE4C1CE65}"/>
    <cellStyle name="Euro 4 23 3" xfId="2845" xr:uid="{0BEF6181-3DD8-4B73-B89A-DE7EA9D0EF08}"/>
    <cellStyle name="Euro 4 24" xfId="664" xr:uid="{00000000-0005-0000-0000-000097020000}"/>
    <cellStyle name="Euro 4 24 2" xfId="4920" xr:uid="{AFBC61E1-582B-42C7-8EC2-919D6C5E17CC}"/>
    <cellStyle name="Euro 4 24 3" xfId="2846" xr:uid="{04407510-00BA-4F96-B46B-84F9A5FE52D2}"/>
    <cellStyle name="Euro 4 25" xfId="665" xr:uid="{00000000-0005-0000-0000-000098020000}"/>
    <cellStyle name="Euro 4 25 2" xfId="4921" xr:uid="{6E871D25-FA1B-4FDA-9463-0F60D712EFA5}"/>
    <cellStyle name="Euro 4 25 3" xfId="2847" xr:uid="{9732A983-BE5D-4CD9-93FE-78347FF8120E}"/>
    <cellStyle name="Euro 4 26" xfId="666" xr:uid="{00000000-0005-0000-0000-000099020000}"/>
    <cellStyle name="Euro 4 26 2" xfId="4922" xr:uid="{7D038F56-2362-4C87-9C41-C1D2A6C1265F}"/>
    <cellStyle name="Euro 4 26 3" xfId="2848" xr:uid="{56743593-0EE2-4FA6-A861-CE11FA9EB3D8}"/>
    <cellStyle name="Euro 4 27" xfId="667" xr:uid="{00000000-0005-0000-0000-00009A020000}"/>
    <cellStyle name="Euro 4 27 2" xfId="4923" xr:uid="{3E71C212-DEA7-4F8E-AB56-426F59092542}"/>
    <cellStyle name="Euro 4 27 3" xfId="2849" xr:uid="{A5B56A07-8340-4670-8AFF-3723F0A746A4}"/>
    <cellStyle name="Euro 4 28" xfId="668" xr:uid="{00000000-0005-0000-0000-00009B020000}"/>
    <cellStyle name="Euro 4 28 2" xfId="4924" xr:uid="{3163C621-3AB6-4685-A316-950BF18ED225}"/>
    <cellStyle name="Euro 4 28 3" xfId="2850" xr:uid="{F00D4F34-79C3-4F67-A399-EFD239895F2C}"/>
    <cellStyle name="Euro 4 29" xfId="669" xr:uid="{00000000-0005-0000-0000-00009C020000}"/>
    <cellStyle name="Euro 4 29 2" xfId="4925" xr:uid="{A42647F1-C89A-4A61-B1B3-BB692CF8A35B}"/>
    <cellStyle name="Euro 4 29 3" xfId="2851" xr:uid="{F2CADA32-200D-4DCB-9643-B259878148D4}"/>
    <cellStyle name="Euro 4 3" xfId="670" xr:uid="{00000000-0005-0000-0000-00009D020000}"/>
    <cellStyle name="Euro 4 3 2" xfId="4926" xr:uid="{FE72B40E-4A1C-413C-AEF9-1D143CBCE7F2}"/>
    <cellStyle name="Euro 4 3 3" xfId="2852" xr:uid="{FCCC331E-1093-4F47-98D8-F295DD806C6D}"/>
    <cellStyle name="Euro 4 30" xfId="4904" xr:uid="{8C95BB6A-34DF-4D3B-9B18-42CB3D7BB104}"/>
    <cellStyle name="Euro 4 31" xfId="2830" xr:uid="{793C813B-EA73-4827-BD88-BF17F303FAFE}"/>
    <cellStyle name="Euro 4 4" xfId="671" xr:uid="{00000000-0005-0000-0000-00009E020000}"/>
    <cellStyle name="Euro 4 4 2" xfId="4927" xr:uid="{80D368D3-584E-4874-96CA-2C28D091E2A9}"/>
    <cellStyle name="Euro 4 4 3" xfId="2853" xr:uid="{DD9C0A12-2A44-45D6-8394-0141E46414FF}"/>
    <cellStyle name="Euro 4 5" xfId="672" xr:uid="{00000000-0005-0000-0000-00009F020000}"/>
    <cellStyle name="Euro 4 5 2" xfId="4928" xr:uid="{7482803D-FE5F-4B4F-82EE-A1AEF3AA5381}"/>
    <cellStyle name="Euro 4 5 3" xfId="2854" xr:uid="{1313A2B7-3CAC-4E9E-A477-621EBCC238C4}"/>
    <cellStyle name="Euro 4 6" xfId="673" xr:uid="{00000000-0005-0000-0000-0000A0020000}"/>
    <cellStyle name="Euro 4 6 2" xfId="4929" xr:uid="{C3908E93-1743-454B-A4D5-10E52B8AD43D}"/>
    <cellStyle name="Euro 4 6 3" xfId="2855" xr:uid="{EE180ED5-574F-4802-A561-28877318CF0B}"/>
    <cellStyle name="Euro 4 7" xfId="674" xr:uid="{00000000-0005-0000-0000-0000A1020000}"/>
    <cellStyle name="Euro 4 7 2" xfId="4930" xr:uid="{7AFCFC5D-2417-4265-AB53-AB7B61068E9D}"/>
    <cellStyle name="Euro 4 7 3" xfId="2856" xr:uid="{6DF26100-AB4C-4FF9-8D33-8B3CFCF87496}"/>
    <cellStyle name="Euro 4 8" xfId="675" xr:uid="{00000000-0005-0000-0000-0000A2020000}"/>
    <cellStyle name="Euro 4 8 2" xfId="4931" xr:uid="{9113D5D0-10B0-430E-A803-EF08B680D3D6}"/>
    <cellStyle name="Euro 4 8 3" xfId="2857" xr:uid="{A61626B4-7CD4-42A4-9E75-D3398D335401}"/>
    <cellStyle name="Euro 4 9" xfId="676" xr:uid="{00000000-0005-0000-0000-0000A3020000}"/>
    <cellStyle name="Euro 4 9 2" xfId="4932" xr:uid="{388A649C-8542-470E-8505-325B23477D68}"/>
    <cellStyle name="Euro 4 9 3" xfId="2858" xr:uid="{82B88B15-DF49-4116-8EC2-F16FC0A8DDC8}"/>
    <cellStyle name="Euro 5" xfId="677" xr:uid="{00000000-0005-0000-0000-0000A4020000}"/>
    <cellStyle name="Euro 5 10" xfId="678" xr:uid="{00000000-0005-0000-0000-0000A5020000}"/>
    <cellStyle name="Euro 5 10 2" xfId="4934" xr:uid="{F113F0E2-6DD1-4119-8A8F-722A412C2C8E}"/>
    <cellStyle name="Euro 5 10 3" xfId="2860" xr:uid="{FEA8D8E6-57A0-41DC-81AE-06A5A50F1C2E}"/>
    <cellStyle name="Euro 5 11" xfId="679" xr:uid="{00000000-0005-0000-0000-0000A6020000}"/>
    <cellStyle name="Euro 5 11 2" xfId="4935" xr:uid="{BE13759C-B84E-44E4-99A3-55AF11248844}"/>
    <cellStyle name="Euro 5 11 3" xfId="2861" xr:uid="{114820E1-62C3-4251-99EC-70F43B9BE259}"/>
    <cellStyle name="Euro 5 12" xfId="680" xr:uid="{00000000-0005-0000-0000-0000A7020000}"/>
    <cellStyle name="Euro 5 12 2" xfId="4936" xr:uid="{5192BFFB-5D6B-4F8E-BBFE-FED0F2A9C650}"/>
    <cellStyle name="Euro 5 12 3" xfId="2862" xr:uid="{78546C78-3B8C-4ACC-8EDD-38DDC6DD3D22}"/>
    <cellStyle name="Euro 5 13" xfId="681" xr:uid="{00000000-0005-0000-0000-0000A8020000}"/>
    <cellStyle name="Euro 5 13 2" xfId="4937" xr:uid="{65919D13-655E-402E-9DB8-6504C7C97C51}"/>
    <cellStyle name="Euro 5 13 3" xfId="2863" xr:uid="{49B5D4DA-BF16-45B4-89FB-EEA75F530BD7}"/>
    <cellStyle name="Euro 5 14" xfId="682" xr:uid="{00000000-0005-0000-0000-0000A9020000}"/>
    <cellStyle name="Euro 5 14 2" xfId="4938" xr:uid="{AED2B3EB-6A5E-4CAE-8B3D-EF162EF6B160}"/>
    <cellStyle name="Euro 5 14 3" xfId="2864" xr:uid="{54ED8716-EC69-48A3-B89A-BC2660F37B54}"/>
    <cellStyle name="Euro 5 15" xfId="683" xr:uid="{00000000-0005-0000-0000-0000AA020000}"/>
    <cellStyle name="Euro 5 15 2" xfId="4939" xr:uid="{4448A2E9-7031-4E53-A740-16F6E3F6622A}"/>
    <cellStyle name="Euro 5 15 3" xfId="2865" xr:uid="{8CBDC2C8-90CD-497D-ABD1-14D4BCD8C880}"/>
    <cellStyle name="Euro 5 16" xfId="684" xr:uid="{00000000-0005-0000-0000-0000AB020000}"/>
    <cellStyle name="Euro 5 16 2" xfId="4940" xr:uid="{E0EAD055-8A62-49A7-BC91-65AF5F83D721}"/>
    <cellStyle name="Euro 5 16 3" xfId="2866" xr:uid="{4BCABC87-BB29-4A7D-A27D-E6926F1A8913}"/>
    <cellStyle name="Euro 5 17" xfId="685" xr:uid="{00000000-0005-0000-0000-0000AC020000}"/>
    <cellStyle name="Euro 5 17 2" xfId="4941" xr:uid="{BFA2474A-EDCB-45FB-993B-ED85D4DB1911}"/>
    <cellStyle name="Euro 5 17 3" xfId="2867" xr:uid="{A684D5E1-1947-4A9E-ABC5-236EA9509982}"/>
    <cellStyle name="Euro 5 18" xfId="686" xr:uid="{00000000-0005-0000-0000-0000AD020000}"/>
    <cellStyle name="Euro 5 18 2" xfId="4942" xr:uid="{79A8B208-59F4-4862-A537-0D7D131FDC4F}"/>
    <cellStyle name="Euro 5 18 3" xfId="2868" xr:uid="{C1D1A885-C433-49B8-B861-98D7844E8FA0}"/>
    <cellStyle name="Euro 5 19" xfId="687" xr:uid="{00000000-0005-0000-0000-0000AE020000}"/>
    <cellStyle name="Euro 5 19 2" xfId="4943" xr:uid="{5969F3AF-512D-491C-84A6-435D494DC76B}"/>
    <cellStyle name="Euro 5 19 3" xfId="2869" xr:uid="{8B882F56-E287-47F5-BD54-3564EA2A9303}"/>
    <cellStyle name="Euro 5 2" xfId="688" xr:uid="{00000000-0005-0000-0000-0000AF020000}"/>
    <cellStyle name="Euro 5 2 2" xfId="4944" xr:uid="{9D7140D0-EDE8-4AD2-B6BD-2768E9E048F8}"/>
    <cellStyle name="Euro 5 2 3" xfId="2870" xr:uid="{C46F37BD-8725-44DF-A704-D186458FE3FD}"/>
    <cellStyle name="Euro 5 20" xfId="689" xr:uid="{00000000-0005-0000-0000-0000B0020000}"/>
    <cellStyle name="Euro 5 20 2" xfId="4945" xr:uid="{F34A0425-3325-431B-851A-A3073C299996}"/>
    <cellStyle name="Euro 5 20 3" xfId="2871" xr:uid="{45A96BA5-649E-410E-91D3-2328C99748DF}"/>
    <cellStyle name="Euro 5 21" xfId="690" xr:uid="{00000000-0005-0000-0000-0000B1020000}"/>
    <cellStyle name="Euro 5 21 2" xfId="4946" xr:uid="{AE6D365D-2606-45D9-8499-24FF9B2AB236}"/>
    <cellStyle name="Euro 5 21 3" xfId="2872" xr:uid="{EC00286C-7AA3-4CD2-9316-37CF97D6EC12}"/>
    <cellStyle name="Euro 5 22" xfId="691" xr:uid="{00000000-0005-0000-0000-0000B2020000}"/>
    <cellStyle name="Euro 5 22 2" xfId="4947" xr:uid="{F2488336-4EAB-4D27-95BD-469892B29255}"/>
    <cellStyle name="Euro 5 22 3" xfId="2873" xr:uid="{55378D46-84B1-4723-96AF-01E2D7746C57}"/>
    <cellStyle name="Euro 5 23" xfId="692" xr:uid="{00000000-0005-0000-0000-0000B3020000}"/>
    <cellStyle name="Euro 5 23 2" xfId="4948" xr:uid="{5A8CABBA-EA90-4FC5-898C-8CD5C5567F19}"/>
    <cellStyle name="Euro 5 23 3" xfId="2874" xr:uid="{AF335952-45F0-4975-A4DC-A24DB07695BB}"/>
    <cellStyle name="Euro 5 24" xfId="693" xr:uid="{00000000-0005-0000-0000-0000B4020000}"/>
    <cellStyle name="Euro 5 24 2" xfId="4949" xr:uid="{98E21F4B-48EF-4CFD-906F-88D8ED10A168}"/>
    <cellStyle name="Euro 5 24 3" xfId="2875" xr:uid="{CB7B6A92-978F-4E42-8679-EED2003D5F8C}"/>
    <cellStyle name="Euro 5 25" xfId="694" xr:uid="{00000000-0005-0000-0000-0000B5020000}"/>
    <cellStyle name="Euro 5 25 2" xfId="4950" xr:uid="{A61DC803-D359-45EA-BFE4-76BB10A248ED}"/>
    <cellStyle name="Euro 5 25 3" xfId="2876" xr:uid="{99476D81-8113-42FF-B42C-6651CAF1851D}"/>
    <cellStyle name="Euro 5 26" xfId="695" xr:uid="{00000000-0005-0000-0000-0000B6020000}"/>
    <cellStyle name="Euro 5 26 2" xfId="4951" xr:uid="{D7EA5F7B-7ADE-490D-873E-9EEB69C395EA}"/>
    <cellStyle name="Euro 5 26 3" xfId="2877" xr:uid="{6A4FEB17-2018-4152-AF46-63CA70593925}"/>
    <cellStyle name="Euro 5 27" xfId="696" xr:uid="{00000000-0005-0000-0000-0000B7020000}"/>
    <cellStyle name="Euro 5 27 2" xfId="4952" xr:uid="{7D9C56AE-69DE-4F2E-A2DA-9D7FD7B53B56}"/>
    <cellStyle name="Euro 5 27 3" xfId="2878" xr:uid="{77348264-DD61-43EA-91BC-EC57308920CC}"/>
    <cellStyle name="Euro 5 28" xfId="697" xr:uid="{00000000-0005-0000-0000-0000B8020000}"/>
    <cellStyle name="Euro 5 28 2" xfId="4953" xr:uid="{822F9417-5995-4651-8170-799CBB6414FC}"/>
    <cellStyle name="Euro 5 28 3" xfId="2879" xr:uid="{AF30B1DA-721C-4C73-B5A7-8CAFF069F699}"/>
    <cellStyle name="Euro 5 29" xfId="698" xr:uid="{00000000-0005-0000-0000-0000B9020000}"/>
    <cellStyle name="Euro 5 29 2" xfId="4954" xr:uid="{EDF7D8E0-5456-4114-BA26-14C83B09C6F8}"/>
    <cellStyle name="Euro 5 29 3" xfId="2880" xr:uid="{66B0448F-5892-4765-A0A7-B9E4933F45A2}"/>
    <cellStyle name="Euro 5 3" xfId="699" xr:uid="{00000000-0005-0000-0000-0000BA020000}"/>
    <cellStyle name="Euro 5 3 2" xfId="4955" xr:uid="{8F7A7D52-9FFD-4873-9453-E6985D544D2E}"/>
    <cellStyle name="Euro 5 3 3" xfId="2881" xr:uid="{7B07C760-9658-4BC9-BEBE-C3F0A181FF9B}"/>
    <cellStyle name="Euro 5 30" xfId="4933" xr:uid="{5F7E7D3F-0695-4A71-8B2C-FC1483C6E560}"/>
    <cellStyle name="Euro 5 31" xfId="2859" xr:uid="{51A94124-671C-4796-923E-EF5CAFBC3B3A}"/>
    <cellStyle name="Euro 5 4" xfId="700" xr:uid="{00000000-0005-0000-0000-0000BB020000}"/>
    <cellStyle name="Euro 5 4 2" xfId="4956" xr:uid="{41708ECC-6EF7-4E8D-BACE-94F0D970AA7C}"/>
    <cellStyle name="Euro 5 4 3" xfId="2882" xr:uid="{CE90EBEF-A67D-4B7F-9BFC-1C3C45E73C2D}"/>
    <cellStyle name="Euro 5 5" xfId="701" xr:uid="{00000000-0005-0000-0000-0000BC020000}"/>
    <cellStyle name="Euro 5 5 2" xfId="4957" xr:uid="{F018E045-DB81-4D75-BE1B-5ADB6F530F1D}"/>
    <cellStyle name="Euro 5 5 3" xfId="2883" xr:uid="{0024C847-AD37-4C2C-BA26-A0BB66D06A01}"/>
    <cellStyle name="Euro 5 6" xfId="702" xr:uid="{00000000-0005-0000-0000-0000BD020000}"/>
    <cellStyle name="Euro 5 6 2" xfId="4958" xr:uid="{2EDC94DF-1E7D-4C55-8A38-42169CD63EAB}"/>
    <cellStyle name="Euro 5 6 3" xfId="2884" xr:uid="{E65BCEF6-CC5C-474E-831E-2AC80F7DEADA}"/>
    <cellStyle name="Euro 5 7" xfId="703" xr:uid="{00000000-0005-0000-0000-0000BE020000}"/>
    <cellStyle name="Euro 5 7 2" xfId="4959" xr:uid="{37EC393D-A575-40A0-998C-2C82D350D605}"/>
    <cellStyle name="Euro 5 7 3" xfId="2885" xr:uid="{CF1E1A85-3C4B-4CF7-8B69-30D0A7F7A4AB}"/>
    <cellStyle name="Euro 5 8" xfId="704" xr:uid="{00000000-0005-0000-0000-0000BF020000}"/>
    <cellStyle name="Euro 5 8 2" xfId="4960" xr:uid="{42F64A0F-F357-402D-B7C0-C37A57028569}"/>
    <cellStyle name="Euro 5 8 3" xfId="2886" xr:uid="{7D1FD6F9-6402-44E3-A252-EA80254FE651}"/>
    <cellStyle name="Euro 5 9" xfId="705" xr:uid="{00000000-0005-0000-0000-0000C0020000}"/>
    <cellStyle name="Euro 5 9 2" xfId="4961" xr:uid="{60000985-F969-4B43-A66E-9497C8506D75}"/>
    <cellStyle name="Euro 5 9 3" xfId="2887" xr:uid="{85768660-D422-47CD-8200-02BE7F84AB9F}"/>
    <cellStyle name="Euro 6" xfId="706" xr:uid="{00000000-0005-0000-0000-0000C1020000}"/>
    <cellStyle name="Euro 6 10" xfId="707" xr:uid="{00000000-0005-0000-0000-0000C2020000}"/>
    <cellStyle name="Euro 6 10 2" xfId="4963" xr:uid="{0B6F208F-4949-4C9B-9001-DFF99DCD46B7}"/>
    <cellStyle name="Euro 6 10 3" xfId="2889" xr:uid="{D05221D9-FC93-413B-AEF3-AC5EFBAE32FB}"/>
    <cellStyle name="Euro 6 11" xfId="708" xr:uid="{00000000-0005-0000-0000-0000C3020000}"/>
    <cellStyle name="Euro 6 11 2" xfId="4964" xr:uid="{D3C98EBF-BA9C-4E45-AFB0-BD08CDB3E892}"/>
    <cellStyle name="Euro 6 11 3" xfId="2890" xr:uid="{159EC6B7-6973-46CE-B829-2947A2940902}"/>
    <cellStyle name="Euro 6 12" xfId="709" xr:uid="{00000000-0005-0000-0000-0000C4020000}"/>
    <cellStyle name="Euro 6 12 2" xfId="4965" xr:uid="{8D333873-0C20-4EF7-AF3E-E805B33A5258}"/>
    <cellStyle name="Euro 6 12 3" xfId="2891" xr:uid="{84C0FBAE-9B72-4781-BE02-67E6E2C8D332}"/>
    <cellStyle name="Euro 6 13" xfId="710" xr:uid="{00000000-0005-0000-0000-0000C5020000}"/>
    <cellStyle name="Euro 6 13 2" xfId="4966" xr:uid="{467992A0-EC65-4128-BD45-071C8E268712}"/>
    <cellStyle name="Euro 6 13 3" xfId="2892" xr:uid="{D3B57216-8FC3-4445-933E-7A5A27CDDBD5}"/>
    <cellStyle name="Euro 6 14" xfId="711" xr:uid="{00000000-0005-0000-0000-0000C6020000}"/>
    <cellStyle name="Euro 6 14 2" xfId="4967" xr:uid="{C6B3E092-7532-49B6-A2A0-475153D40D70}"/>
    <cellStyle name="Euro 6 14 3" xfId="2893" xr:uid="{BC422BA4-BC18-4328-9440-BF7429A0C6A2}"/>
    <cellStyle name="Euro 6 15" xfId="712" xr:uid="{00000000-0005-0000-0000-0000C7020000}"/>
    <cellStyle name="Euro 6 15 2" xfId="4968" xr:uid="{615DD088-C4B6-4ED6-891A-975009C6D438}"/>
    <cellStyle name="Euro 6 15 3" xfId="2894" xr:uid="{9A82F22E-DEA4-4ED9-A788-5C55270C1CD2}"/>
    <cellStyle name="Euro 6 16" xfId="713" xr:uid="{00000000-0005-0000-0000-0000C8020000}"/>
    <cellStyle name="Euro 6 16 2" xfId="4969" xr:uid="{174DD6F4-8CBB-41F8-A254-1AB90AC29476}"/>
    <cellStyle name="Euro 6 16 3" xfId="2895" xr:uid="{F53EC90F-40C8-4CB0-B554-B427C689C351}"/>
    <cellStyle name="Euro 6 17" xfId="714" xr:uid="{00000000-0005-0000-0000-0000C9020000}"/>
    <cellStyle name="Euro 6 17 2" xfId="4970" xr:uid="{E77F471F-4B70-4512-AD0A-7D59158A4BF9}"/>
    <cellStyle name="Euro 6 17 3" xfId="2896" xr:uid="{5B530EDF-B380-400F-9CC2-6064DCAF563E}"/>
    <cellStyle name="Euro 6 18" xfId="715" xr:uid="{00000000-0005-0000-0000-0000CA020000}"/>
    <cellStyle name="Euro 6 18 2" xfId="4971" xr:uid="{80981C1B-4470-47DB-92BC-BE1ACD4F1DA1}"/>
    <cellStyle name="Euro 6 18 3" xfId="2897" xr:uid="{BA316256-5C21-4150-AC93-CE68EBC62EE6}"/>
    <cellStyle name="Euro 6 19" xfId="716" xr:uid="{00000000-0005-0000-0000-0000CB020000}"/>
    <cellStyle name="Euro 6 19 2" xfId="4972" xr:uid="{D5317890-02E5-412C-A63D-4DDA728C32A5}"/>
    <cellStyle name="Euro 6 19 3" xfId="2898" xr:uid="{9ABE0BF8-E04A-4CCD-BB41-6099BF917B59}"/>
    <cellStyle name="Euro 6 2" xfId="717" xr:uid="{00000000-0005-0000-0000-0000CC020000}"/>
    <cellStyle name="Euro 6 2 2" xfId="4973" xr:uid="{03E0538F-D69B-4B46-9F5F-DEEE78842CAD}"/>
    <cellStyle name="Euro 6 2 3" xfId="2899" xr:uid="{87BD9AFE-F8DF-4CDB-BC8F-9C881678380D}"/>
    <cellStyle name="Euro 6 20" xfId="718" xr:uid="{00000000-0005-0000-0000-0000CD020000}"/>
    <cellStyle name="Euro 6 20 2" xfId="4974" xr:uid="{5F709DA3-E8FD-4011-9C1C-38D9048FF0E2}"/>
    <cellStyle name="Euro 6 20 3" xfId="2900" xr:uid="{2E2727CE-AFF1-4B96-B8A8-E121204FD598}"/>
    <cellStyle name="Euro 6 21" xfId="719" xr:uid="{00000000-0005-0000-0000-0000CE020000}"/>
    <cellStyle name="Euro 6 21 2" xfId="4975" xr:uid="{6298DDE6-C852-4B42-8C8A-8FE246DAECD9}"/>
    <cellStyle name="Euro 6 21 3" xfId="2901" xr:uid="{3D98C2C0-1600-40FF-B0CF-C31E14D8E4D7}"/>
    <cellStyle name="Euro 6 22" xfId="720" xr:uid="{00000000-0005-0000-0000-0000CF020000}"/>
    <cellStyle name="Euro 6 22 2" xfId="4976" xr:uid="{73C7D9CA-B535-419F-9598-E7A7294D6715}"/>
    <cellStyle name="Euro 6 22 3" xfId="2902" xr:uid="{1AA07991-6B87-4952-9A1C-8F5B71B1DFA4}"/>
    <cellStyle name="Euro 6 23" xfId="721" xr:uid="{00000000-0005-0000-0000-0000D0020000}"/>
    <cellStyle name="Euro 6 23 2" xfId="4977" xr:uid="{9BF20D60-8035-4AAC-9F18-0991EF6B2599}"/>
    <cellStyle name="Euro 6 23 3" xfId="2903" xr:uid="{E1DAD967-BDF2-4D64-A777-0F1AC448E782}"/>
    <cellStyle name="Euro 6 24" xfId="722" xr:uid="{00000000-0005-0000-0000-0000D1020000}"/>
    <cellStyle name="Euro 6 24 2" xfId="4978" xr:uid="{B1A24F7C-6986-42F4-A38F-23181C16B73C}"/>
    <cellStyle name="Euro 6 24 3" xfId="2904" xr:uid="{F334EE7B-620E-4B10-9942-DDE2B2E98627}"/>
    <cellStyle name="Euro 6 25" xfId="723" xr:uid="{00000000-0005-0000-0000-0000D2020000}"/>
    <cellStyle name="Euro 6 25 2" xfId="4979" xr:uid="{32E693F9-D8DA-484A-BC89-DC75EC83979F}"/>
    <cellStyle name="Euro 6 25 3" xfId="2905" xr:uid="{7C7E41D7-ADEF-40F7-9AF6-DDE30612298F}"/>
    <cellStyle name="Euro 6 26" xfId="724" xr:uid="{00000000-0005-0000-0000-0000D3020000}"/>
    <cellStyle name="Euro 6 26 2" xfId="4980" xr:uid="{7BEC6F56-A71B-4151-BB49-91588E50498D}"/>
    <cellStyle name="Euro 6 26 3" xfId="2906" xr:uid="{D2A587EF-09D7-4591-92D5-B006A5316396}"/>
    <cellStyle name="Euro 6 27" xfId="725" xr:uid="{00000000-0005-0000-0000-0000D4020000}"/>
    <cellStyle name="Euro 6 27 2" xfId="4981" xr:uid="{7AE42EE3-A282-4E7C-8050-3A3E6E4E8297}"/>
    <cellStyle name="Euro 6 27 3" xfId="2907" xr:uid="{91107B3F-E24E-4CF2-810D-0F98E27AA738}"/>
    <cellStyle name="Euro 6 28" xfId="726" xr:uid="{00000000-0005-0000-0000-0000D5020000}"/>
    <cellStyle name="Euro 6 28 2" xfId="4982" xr:uid="{1D7CCD48-2D2C-4252-9E86-6926EF358650}"/>
    <cellStyle name="Euro 6 28 3" xfId="2908" xr:uid="{8E079E1D-29A2-4558-A5CC-D1FAF9456B85}"/>
    <cellStyle name="Euro 6 29" xfId="727" xr:uid="{00000000-0005-0000-0000-0000D6020000}"/>
    <cellStyle name="Euro 6 29 2" xfId="4983" xr:uid="{00AF8AF3-3F4E-492E-886B-248D56A76110}"/>
    <cellStyle name="Euro 6 29 3" xfId="2909" xr:uid="{F745A0A0-8035-4974-9831-BDC7D382A62C}"/>
    <cellStyle name="Euro 6 3" xfId="728" xr:uid="{00000000-0005-0000-0000-0000D7020000}"/>
    <cellStyle name="Euro 6 3 2" xfId="4984" xr:uid="{6215CAF8-F719-4602-AC83-BAA6366C56CE}"/>
    <cellStyle name="Euro 6 3 3" xfId="2910" xr:uid="{367BE94A-DD90-4D27-A34F-AC150770401E}"/>
    <cellStyle name="Euro 6 30" xfId="4962" xr:uid="{C949EEF5-4389-4936-91DC-7F8E95FA059A}"/>
    <cellStyle name="Euro 6 31" xfId="2888" xr:uid="{60ADE565-508F-49BD-99BE-7FDD8EA419E8}"/>
    <cellStyle name="Euro 6 4" xfId="729" xr:uid="{00000000-0005-0000-0000-0000D8020000}"/>
    <cellStyle name="Euro 6 4 2" xfId="4985" xr:uid="{7BC17CD9-5B7B-4BA9-9E4C-69FE429C05A4}"/>
    <cellStyle name="Euro 6 4 3" xfId="2911" xr:uid="{18687068-7445-4897-B9AF-E57D23A2459D}"/>
    <cellStyle name="Euro 6 5" xfId="730" xr:uid="{00000000-0005-0000-0000-0000D9020000}"/>
    <cellStyle name="Euro 6 5 2" xfId="4986" xr:uid="{B810554C-3D78-4FF7-94D2-6D70B12199A1}"/>
    <cellStyle name="Euro 6 5 3" xfId="2912" xr:uid="{944DF1B7-2C43-4637-B4B5-2B6AE33396DC}"/>
    <cellStyle name="Euro 6 6" xfId="731" xr:uid="{00000000-0005-0000-0000-0000DA020000}"/>
    <cellStyle name="Euro 6 6 2" xfId="4987" xr:uid="{790F4FC7-A538-413F-B228-263754ECC291}"/>
    <cellStyle name="Euro 6 6 3" xfId="2913" xr:uid="{9A657B5B-9FC7-45A0-99F4-D56B40EBA443}"/>
    <cellStyle name="Euro 6 7" xfId="732" xr:uid="{00000000-0005-0000-0000-0000DB020000}"/>
    <cellStyle name="Euro 6 7 2" xfId="4988" xr:uid="{F16B7146-70C5-42F5-9B58-1D65AC765776}"/>
    <cellStyle name="Euro 6 7 3" xfId="2914" xr:uid="{383293D7-8AE3-44CE-AAA3-1CA558CCBE0F}"/>
    <cellStyle name="Euro 6 8" xfId="733" xr:uid="{00000000-0005-0000-0000-0000DC020000}"/>
    <cellStyle name="Euro 6 8 2" xfId="4989" xr:uid="{8813350F-9EFF-4847-8A64-3807788EA2AD}"/>
    <cellStyle name="Euro 6 8 3" xfId="2915" xr:uid="{92F7A2B3-954A-4715-952A-74615CBE1379}"/>
    <cellStyle name="Euro 6 9" xfId="734" xr:uid="{00000000-0005-0000-0000-0000DD020000}"/>
    <cellStyle name="Euro 6 9 2" xfId="4990" xr:uid="{51526EB6-0BD3-40E5-858C-3EF98F7BFCD8}"/>
    <cellStyle name="Euro 6 9 3" xfId="2916" xr:uid="{0A5A69CC-23D0-4182-AA61-2ED4BEE8F5E4}"/>
    <cellStyle name="Euro 7" xfId="4845" xr:uid="{6B8ACDC5-E9D5-48AC-B14D-836BF1E75B50}"/>
    <cellStyle name="Euro 8" xfId="2771" xr:uid="{E06B1B74-0C54-45ED-AD68-348979515E04}"/>
    <cellStyle name="Explanatory Text 2" xfId="735" xr:uid="{00000000-0005-0000-0000-0000DE020000}"/>
    <cellStyle name="Explanatory Text 3" xfId="736" xr:uid="{00000000-0005-0000-0000-0000DF020000}"/>
    <cellStyle name="Explanatory Text 4" xfId="737" xr:uid="{00000000-0005-0000-0000-0000E0020000}"/>
    <cellStyle name="Explanatory Text 5" xfId="738" xr:uid="{00000000-0005-0000-0000-0000E1020000}"/>
    <cellStyle name="Explanatory Text 6" xfId="739" xr:uid="{00000000-0005-0000-0000-0000E2020000}"/>
    <cellStyle name="gato1" xfId="740" xr:uid="{00000000-0005-0000-0000-0000E3020000}"/>
    <cellStyle name="GLOBAL - Style1" xfId="741" xr:uid="{00000000-0005-0000-0000-0000E4020000}"/>
    <cellStyle name="Good 2" xfId="742" xr:uid="{00000000-0005-0000-0000-0000E5020000}"/>
    <cellStyle name="Good 3" xfId="743" xr:uid="{00000000-0005-0000-0000-0000E6020000}"/>
    <cellStyle name="Good 4" xfId="744" xr:uid="{00000000-0005-0000-0000-0000E7020000}"/>
    <cellStyle name="Good 5" xfId="745" xr:uid="{00000000-0005-0000-0000-0000E8020000}"/>
    <cellStyle name="Good 6" xfId="746" xr:uid="{00000000-0005-0000-0000-0000E9020000}"/>
    <cellStyle name="Green" xfId="747" xr:uid="{00000000-0005-0000-0000-0000EA020000}"/>
    <cellStyle name="Grey" xfId="748" xr:uid="{00000000-0005-0000-0000-0000EB020000}"/>
    <cellStyle name="Header" xfId="749" xr:uid="{00000000-0005-0000-0000-0000EC020000}"/>
    <cellStyle name="Header1" xfId="750" xr:uid="{00000000-0005-0000-0000-0000ED020000}"/>
    <cellStyle name="Header2" xfId="751" xr:uid="{00000000-0005-0000-0000-0000EE020000}"/>
    <cellStyle name="Header2 2" xfId="4991" xr:uid="{3F75D796-6B85-40D7-9F26-3BFFD2C82658}"/>
    <cellStyle name="Header2 3" xfId="2917" xr:uid="{66512A37-ED2B-48C0-BC9B-C64DA6EF2CD7}"/>
    <cellStyle name="Heading 1 2" xfId="752" xr:uid="{00000000-0005-0000-0000-0000EF020000}"/>
    <cellStyle name="Heading 1 3" xfId="753" xr:uid="{00000000-0005-0000-0000-0000F0020000}"/>
    <cellStyle name="Heading 1 4" xfId="754" xr:uid="{00000000-0005-0000-0000-0000F1020000}"/>
    <cellStyle name="Heading 1 5" xfId="755" xr:uid="{00000000-0005-0000-0000-0000F2020000}"/>
    <cellStyle name="Heading 1 6" xfId="756" xr:uid="{00000000-0005-0000-0000-0000F3020000}"/>
    <cellStyle name="Heading 2 2" xfId="757" xr:uid="{00000000-0005-0000-0000-0000F4020000}"/>
    <cellStyle name="Heading 2 3" xfId="758" xr:uid="{00000000-0005-0000-0000-0000F5020000}"/>
    <cellStyle name="Heading 2 4" xfId="759" xr:uid="{00000000-0005-0000-0000-0000F6020000}"/>
    <cellStyle name="Heading 2 5" xfId="760" xr:uid="{00000000-0005-0000-0000-0000F7020000}"/>
    <cellStyle name="Heading 2 6" xfId="761" xr:uid="{00000000-0005-0000-0000-0000F8020000}"/>
    <cellStyle name="Heading 3 2" xfId="762" xr:uid="{00000000-0005-0000-0000-0000F9020000}"/>
    <cellStyle name="Heading 3 3" xfId="763" xr:uid="{00000000-0005-0000-0000-0000FA020000}"/>
    <cellStyle name="Heading 3 4" xfId="764" xr:uid="{00000000-0005-0000-0000-0000FB020000}"/>
    <cellStyle name="Heading 3 5" xfId="765" xr:uid="{00000000-0005-0000-0000-0000FC020000}"/>
    <cellStyle name="Heading 3 6" xfId="766" xr:uid="{00000000-0005-0000-0000-0000FD020000}"/>
    <cellStyle name="Heading 4 2" xfId="767" xr:uid="{00000000-0005-0000-0000-0000FE020000}"/>
    <cellStyle name="Heading 4 3" xfId="768" xr:uid="{00000000-0005-0000-0000-0000FF020000}"/>
    <cellStyle name="Heading 4 4" xfId="769" xr:uid="{00000000-0005-0000-0000-000000030000}"/>
    <cellStyle name="Heading 4 5" xfId="770" xr:uid="{00000000-0005-0000-0000-000001030000}"/>
    <cellStyle name="Heading 4 6" xfId="771" xr:uid="{00000000-0005-0000-0000-000002030000}"/>
    <cellStyle name="HEADINGS" xfId="772" xr:uid="{00000000-0005-0000-0000-000003030000}"/>
    <cellStyle name="HEADINGSTOP" xfId="773" xr:uid="{00000000-0005-0000-0000-000004030000}"/>
    <cellStyle name="Highlight 1" xfId="774" xr:uid="{00000000-0005-0000-0000-000005030000}"/>
    <cellStyle name="Highlight 2" xfId="775" xr:uid="{00000000-0005-0000-0000-000006030000}"/>
    <cellStyle name="Highlight 3" xfId="776" xr:uid="{00000000-0005-0000-0000-000007030000}"/>
    <cellStyle name="Highlight 4" xfId="777" xr:uid="{00000000-0005-0000-0000-000008030000}"/>
    <cellStyle name="Hipervínculo visitado_Libro2" xfId="778" xr:uid="{00000000-0005-0000-0000-000009030000}"/>
    <cellStyle name="Hipervínculo_Acc_R_P_StP(Draft)" xfId="779" xr:uid="{00000000-0005-0000-0000-00000A030000}"/>
    <cellStyle name="hola" xfId="780" xr:uid="{00000000-0005-0000-0000-00000B030000}"/>
    <cellStyle name="hola 2" xfId="781" xr:uid="{00000000-0005-0000-0000-00000C030000}"/>
    <cellStyle name="hola 2 10" xfId="782" xr:uid="{00000000-0005-0000-0000-00000D030000}"/>
    <cellStyle name="hola 2 10 2" xfId="4994" xr:uid="{44011B6C-08FA-449B-BBFD-0DCBDB267549}"/>
    <cellStyle name="hola 2 10 3" xfId="2920" xr:uid="{A0F2DE7E-B2E4-494F-BBCA-1970E22678B6}"/>
    <cellStyle name="hola 2 11" xfId="783" xr:uid="{00000000-0005-0000-0000-00000E030000}"/>
    <cellStyle name="hola 2 11 2" xfId="4995" xr:uid="{FAEFF486-E086-455C-869A-8BD605399CF8}"/>
    <cellStyle name="hola 2 11 3" xfId="2921" xr:uid="{00DEFDAC-4969-49FF-A1A2-5EBE43A472D9}"/>
    <cellStyle name="hola 2 12" xfId="784" xr:uid="{00000000-0005-0000-0000-00000F030000}"/>
    <cellStyle name="hola 2 12 2" xfId="4996" xr:uid="{45F668DD-FACC-472F-89B4-2BFB36474462}"/>
    <cellStyle name="hola 2 12 3" xfId="2922" xr:uid="{EA2A873F-54CB-465B-ADDE-F2AF8EDFF952}"/>
    <cellStyle name="hola 2 13" xfId="785" xr:uid="{00000000-0005-0000-0000-000010030000}"/>
    <cellStyle name="hola 2 13 2" xfId="4997" xr:uid="{2E004AFD-D3D4-4DD6-B973-EE63AFFE30E6}"/>
    <cellStyle name="hola 2 13 3" xfId="2923" xr:uid="{4677FF23-9164-4E07-ACAC-9CC86BF3BF66}"/>
    <cellStyle name="hola 2 14" xfId="786" xr:uid="{00000000-0005-0000-0000-000011030000}"/>
    <cellStyle name="hola 2 14 2" xfId="4998" xr:uid="{B76E5BEE-6C2F-43E9-A8AD-F4635A8A0F32}"/>
    <cellStyle name="hola 2 14 3" xfId="2924" xr:uid="{888C5462-2073-4A7D-925E-76F6181E69A9}"/>
    <cellStyle name="hola 2 15" xfId="787" xr:uid="{00000000-0005-0000-0000-000012030000}"/>
    <cellStyle name="hola 2 15 2" xfId="4999" xr:uid="{A25332C9-F3EC-4701-9897-8D0B12EAD78F}"/>
    <cellStyle name="hola 2 15 3" xfId="2925" xr:uid="{0E35593D-204B-4732-ACA8-81B7D2956FAB}"/>
    <cellStyle name="hola 2 16" xfId="788" xr:uid="{00000000-0005-0000-0000-000013030000}"/>
    <cellStyle name="hola 2 16 2" xfId="5000" xr:uid="{52734767-44CB-4E8B-988D-5F9B4ECE5EB6}"/>
    <cellStyle name="hola 2 16 3" xfId="2926" xr:uid="{598AE7B5-35E1-4041-9ED1-C454D6F4DDB9}"/>
    <cellStyle name="hola 2 17" xfId="789" xr:uid="{00000000-0005-0000-0000-000014030000}"/>
    <cellStyle name="hola 2 17 2" xfId="5001" xr:uid="{94D3F47C-C5DB-4EED-81CA-D976B9FF6191}"/>
    <cellStyle name="hola 2 17 3" xfId="2927" xr:uid="{772D79B8-B482-4CB2-9ABB-56CB8564258C}"/>
    <cellStyle name="hola 2 18" xfId="790" xr:uid="{00000000-0005-0000-0000-000015030000}"/>
    <cellStyle name="hola 2 18 2" xfId="5002" xr:uid="{B1F09919-A1A6-4CE8-8FCF-888B7EDED144}"/>
    <cellStyle name="hola 2 18 3" xfId="2928" xr:uid="{BE4AE374-B029-4543-8BF4-7F0648D7161B}"/>
    <cellStyle name="hola 2 19" xfId="791" xr:uid="{00000000-0005-0000-0000-000016030000}"/>
    <cellStyle name="hola 2 19 2" xfId="5003" xr:uid="{7C75B30E-9965-4C4C-BEF2-3FC15E01AF5D}"/>
    <cellStyle name="hola 2 19 3" xfId="2929" xr:uid="{F0E7280F-0B17-46B9-8A05-826E40E1AA05}"/>
    <cellStyle name="hola 2 2" xfId="792" xr:uid="{00000000-0005-0000-0000-000017030000}"/>
    <cellStyle name="hola 2 2 2" xfId="5004" xr:uid="{EDAA5083-64E3-4B63-8A67-1C97E87B80F8}"/>
    <cellStyle name="hola 2 2 3" xfId="2930" xr:uid="{53D572FD-A831-4690-9E21-E62AE9FC1054}"/>
    <cellStyle name="hola 2 20" xfId="793" xr:uid="{00000000-0005-0000-0000-000018030000}"/>
    <cellStyle name="hola 2 20 2" xfId="5005" xr:uid="{1774ECF1-DF30-4B66-BAE5-1611DBD94504}"/>
    <cellStyle name="hola 2 20 3" xfId="2931" xr:uid="{4031FAEC-0429-48DE-80DB-911C3C874171}"/>
    <cellStyle name="hola 2 21" xfId="794" xr:uid="{00000000-0005-0000-0000-000019030000}"/>
    <cellStyle name="hola 2 21 2" xfId="5006" xr:uid="{8012A8EB-4A4A-4CA5-8547-DCEFB6C418FF}"/>
    <cellStyle name="hola 2 21 3" xfId="2932" xr:uid="{01603AC2-84CD-4C30-BD3F-651D96FBC10D}"/>
    <cellStyle name="hola 2 22" xfId="795" xr:uid="{00000000-0005-0000-0000-00001A030000}"/>
    <cellStyle name="hola 2 22 2" xfId="5007" xr:uid="{A9380151-5E86-43EB-B59E-333464F5381E}"/>
    <cellStyle name="hola 2 22 3" xfId="2933" xr:uid="{2DA61E65-EDA2-43B5-ACF7-12FE9E301351}"/>
    <cellStyle name="hola 2 23" xfId="796" xr:uid="{00000000-0005-0000-0000-00001B030000}"/>
    <cellStyle name="hola 2 23 2" xfId="5008" xr:uid="{6E4144A9-3009-4E86-BDA7-6D4A292139E0}"/>
    <cellStyle name="hola 2 23 3" xfId="2934" xr:uid="{5264E8F7-5AA1-4754-A5F2-600F0965953B}"/>
    <cellStyle name="hola 2 24" xfId="797" xr:uid="{00000000-0005-0000-0000-00001C030000}"/>
    <cellStyle name="hola 2 24 2" xfId="5009" xr:uid="{B18566C7-7272-46B8-85E5-54C8004F0E68}"/>
    <cellStyle name="hola 2 24 3" xfId="2935" xr:uid="{48BFAFCE-DF07-4CEB-983D-328980E4549B}"/>
    <cellStyle name="hola 2 25" xfId="798" xr:uid="{00000000-0005-0000-0000-00001D030000}"/>
    <cellStyle name="hola 2 25 2" xfId="5010" xr:uid="{EF160C01-9566-4F08-8A44-09CE1B863323}"/>
    <cellStyle name="hola 2 25 3" xfId="2936" xr:uid="{BCEFE6E7-68B5-4E92-9E99-78103FA75725}"/>
    <cellStyle name="hola 2 26" xfId="799" xr:uid="{00000000-0005-0000-0000-00001E030000}"/>
    <cellStyle name="hola 2 26 2" xfId="5011" xr:uid="{93F73122-B678-4434-BCD9-058D87E20060}"/>
    <cellStyle name="hola 2 26 3" xfId="2937" xr:uid="{0ABED724-3F36-42C1-A73E-2FF0F0C34405}"/>
    <cellStyle name="hola 2 27" xfId="800" xr:uid="{00000000-0005-0000-0000-00001F030000}"/>
    <cellStyle name="hola 2 27 2" xfId="5012" xr:uid="{DDD4E537-AA15-4C39-8F69-72EAA1C1405C}"/>
    <cellStyle name="hola 2 27 3" xfId="2938" xr:uid="{DEC1D292-9CE9-4124-92F7-672232C697E3}"/>
    <cellStyle name="hola 2 28" xfId="801" xr:uid="{00000000-0005-0000-0000-000020030000}"/>
    <cellStyle name="hola 2 28 2" xfId="5013" xr:uid="{9B7F07AF-59AF-4E1A-A6B6-754810BB7E1E}"/>
    <cellStyle name="hola 2 28 3" xfId="2939" xr:uid="{89B3BF74-064B-4031-A087-6FF2D263A46B}"/>
    <cellStyle name="hola 2 29" xfId="802" xr:uid="{00000000-0005-0000-0000-000021030000}"/>
    <cellStyle name="hola 2 29 2" xfId="5014" xr:uid="{DBEE5499-150F-4D41-A04E-4D23962C2937}"/>
    <cellStyle name="hola 2 29 3" xfId="2940" xr:uid="{2DEFA8DC-9CAA-41E7-92DD-B4B755411588}"/>
    <cellStyle name="hola 2 3" xfId="803" xr:uid="{00000000-0005-0000-0000-000022030000}"/>
    <cellStyle name="hola 2 3 2" xfId="5015" xr:uid="{1170FA7A-FA6E-4C6F-B61E-1BB60871DD57}"/>
    <cellStyle name="hola 2 3 3" xfId="2941" xr:uid="{48665D13-9644-4D8F-B507-A09117606B24}"/>
    <cellStyle name="hola 2 30" xfId="4993" xr:uid="{5D01E5EB-ECDD-4FF4-BBDB-DF4A99B1E02F}"/>
    <cellStyle name="hola 2 31" xfId="2919" xr:uid="{F04DF27E-8E4B-49FF-A944-ADBC3E60BA3F}"/>
    <cellStyle name="hola 2 4" xfId="804" xr:uid="{00000000-0005-0000-0000-000023030000}"/>
    <cellStyle name="hola 2 4 2" xfId="5016" xr:uid="{BD9AAAEA-2256-4AEA-B129-7E940E412104}"/>
    <cellStyle name="hola 2 4 3" xfId="2942" xr:uid="{323BDAAF-5483-4854-9B44-682F2A83F343}"/>
    <cellStyle name="hola 2 5" xfId="805" xr:uid="{00000000-0005-0000-0000-000024030000}"/>
    <cellStyle name="hola 2 5 2" xfId="5017" xr:uid="{554759F2-A6F4-47F3-A42D-783634E135E3}"/>
    <cellStyle name="hola 2 5 3" xfId="2943" xr:uid="{4B16131D-C908-4E5C-9C0D-B56F07B6BB33}"/>
    <cellStyle name="hola 2 6" xfId="806" xr:uid="{00000000-0005-0000-0000-000025030000}"/>
    <cellStyle name="hola 2 6 2" xfId="5018" xr:uid="{C5644889-35FB-4DEB-A5EE-FD2488430F10}"/>
    <cellStyle name="hola 2 6 3" xfId="2944" xr:uid="{84F07B5E-42B7-4B70-9A78-79A0C6268364}"/>
    <cellStyle name="hola 2 7" xfId="807" xr:uid="{00000000-0005-0000-0000-000026030000}"/>
    <cellStyle name="hola 2 7 2" xfId="5019" xr:uid="{91748972-448D-40C2-9C97-AE0A4E626825}"/>
    <cellStyle name="hola 2 7 3" xfId="2945" xr:uid="{B19B2C2B-5AAE-4FCA-BECB-776587382CC8}"/>
    <cellStyle name="hola 2 8" xfId="808" xr:uid="{00000000-0005-0000-0000-000027030000}"/>
    <cellStyle name="hola 2 8 2" xfId="5020" xr:uid="{3C7BD9C2-579F-49EE-8165-E3495368FA2A}"/>
    <cellStyle name="hola 2 8 3" xfId="2946" xr:uid="{00B59866-4A80-4A06-B598-CFC2E23CFBB3}"/>
    <cellStyle name="hola 2 9" xfId="809" xr:uid="{00000000-0005-0000-0000-000028030000}"/>
    <cellStyle name="hola 2 9 2" xfId="5021" xr:uid="{2AF1E912-8C5C-446B-8575-E62952C7F72D}"/>
    <cellStyle name="hola 2 9 3" xfId="2947" xr:uid="{4463CF81-029D-4BB2-8DEB-8C5B3103C4B4}"/>
    <cellStyle name="hola 3" xfId="810" xr:uid="{00000000-0005-0000-0000-000029030000}"/>
    <cellStyle name="hola 3 10" xfId="811" xr:uid="{00000000-0005-0000-0000-00002A030000}"/>
    <cellStyle name="hola 3 10 2" xfId="5023" xr:uid="{4BC62202-C7CA-4FEC-83B7-9D3B2BC622C4}"/>
    <cellStyle name="hola 3 10 3" xfId="2949" xr:uid="{E63F2D1E-674A-4D06-B24B-6EE7F7BD6247}"/>
    <cellStyle name="hola 3 11" xfId="812" xr:uid="{00000000-0005-0000-0000-00002B030000}"/>
    <cellStyle name="hola 3 11 2" xfId="5024" xr:uid="{921B32E9-D797-4BB8-B23C-22DD319E538C}"/>
    <cellStyle name="hola 3 11 3" xfId="2950" xr:uid="{CE5620E0-5621-4184-8696-B659E89DFB86}"/>
    <cellStyle name="hola 3 12" xfId="813" xr:uid="{00000000-0005-0000-0000-00002C030000}"/>
    <cellStyle name="hola 3 12 2" xfId="5025" xr:uid="{3B342692-8F56-4A34-A431-C59587C81DCB}"/>
    <cellStyle name="hola 3 12 3" xfId="2951" xr:uid="{5E1F32EE-A6B5-47E7-91B7-90C899510ADA}"/>
    <cellStyle name="hola 3 13" xfId="814" xr:uid="{00000000-0005-0000-0000-00002D030000}"/>
    <cellStyle name="hola 3 13 2" xfId="5026" xr:uid="{10AD736D-2BA9-45D7-9FCD-AE01BF54C015}"/>
    <cellStyle name="hola 3 13 3" xfId="2952" xr:uid="{2572803E-71B7-41D8-8AFD-89B306B62AD6}"/>
    <cellStyle name="hola 3 14" xfId="815" xr:uid="{00000000-0005-0000-0000-00002E030000}"/>
    <cellStyle name="hola 3 14 2" xfId="5027" xr:uid="{EE6B9D59-BF59-42AB-A111-D1BAB6C5B158}"/>
    <cellStyle name="hola 3 14 3" xfId="2953" xr:uid="{6F0D8196-82C6-4707-8009-E9A01AB67CDC}"/>
    <cellStyle name="hola 3 15" xfId="816" xr:uid="{00000000-0005-0000-0000-00002F030000}"/>
    <cellStyle name="hola 3 15 2" xfId="5028" xr:uid="{6317B998-B9A8-4609-ADE0-090A88F5EE7F}"/>
    <cellStyle name="hola 3 15 3" xfId="2954" xr:uid="{5CFC2FAD-A454-436B-8631-BB567C1C06B8}"/>
    <cellStyle name="hola 3 16" xfId="817" xr:uid="{00000000-0005-0000-0000-000030030000}"/>
    <cellStyle name="hola 3 16 2" xfId="5029" xr:uid="{C7FD27E8-97E8-4A09-A7A8-A2E135F7885A}"/>
    <cellStyle name="hola 3 16 3" xfId="2955" xr:uid="{9F623E08-D5E4-4AC9-AA5D-C0F6A7AAC005}"/>
    <cellStyle name="hola 3 17" xfId="818" xr:uid="{00000000-0005-0000-0000-000031030000}"/>
    <cellStyle name="hola 3 17 2" xfId="5030" xr:uid="{70646C62-2BB5-4511-A0FB-17324214A6DC}"/>
    <cellStyle name="hola 3 17 3" xfId="2956" xr:uid="{800756FC-BDC0-43B4-9AAC-890462FD0A14}"/>
    <cellStyle name="hola 3 18" xfId="819" xr:uid="{00000000-0005-0000-0000-000032030000}"/>
    <cellStyle name="hola 3 18 2" xfId="5031" xr:uid="{6ABCDBFE-075C-43A7-A790-43A21605CE48}"/>
    <cellStyle name="hola 3 18 3" xfId="2957" xr:uid="{350AD508-F0B4-4530-A097-196EDCA7C993}"/>
    <cellStyle name="hola 3 19" xfId="820" xr:uid="{00000000-0005-0000-0000-000033030000}"/>
    <cellStyle name="hola 3 19 2" xfId="5032" xr:uid="{2246748F-1A5C-49D6-9320-C46A95468B1A}"/>
    <cellStyle name="hola 3 19 3" xfId="2958" xr:uid="{3F1E0DD5-C678-4DBE-8939-DCEB2821281B}"/>
    <cellStyle name="hola 3 2" xfId="821" xr:uid="{00000000-0005-0000-0000-000034030000}"/>
    <cellStyle name="hola 3 2 2" xfId="5033" xr:uid="{C34AC5EB-7FAB-43D6-B9D9-7182632E2CA7}"/>
    <cellStyle name="hola 3 2 3" xfId="2959" xr:uid="{6C61528A-3D6A-473C-8506-D50CE76869B2}"/>
    <cellStyle name="hola 3 20" xfId="822" xr:uid="{00000000-0005-0000-0000-000035030000}"/>
    <cellStyle name="hola 3 20 2" xfId="5034" xr:uid="{17B4A3D6-2B4A-45CB-AA5A-634C02FE3AC6}"/>
    <cellStyle name="hola 3 20 3" xfId="2960" xr:uid="{A795AF94-0CE5-44E1-9493-8A1D9221E59C}"/>
    <cellStyle name="hola 3 21" xfId="823" xr:uid="{00000000-0005-0000-0000-000036030000}"/>
    <cellStyle name="hola 3 21 2" xfId="5035" xr:uid="{3F93F90D-6DBF-4809-8D7E-939A7DA95A4E}"/>
    <cellStyle name="hola 3 21 3" xfId="2961" xr:uid="{483D19B7-6AA8-4D23-8052-0BA79AD0858F}"/>
    <cellStyle name="hola 3 22" xfId="824" xr:uid="{00000000-0005-0000-0000-000037030000}"/>
    <cellStyle name="hola 3 22 2" xfId="5036" xr:uid="{A9DD17B5-F022-4B7D-9464-3A46DF6D08ED}"/>
    <cellStyle name="hola 3 22 3" xfId="2962" xr:uid="{E92B2870-6BC2-4126-B678-60FECF412B7E}"/>
    <cellStyle name="hola 3 23" xfId="825" xr:uid="{00000000-0005-0000-0000-000038030000}"/>
    <cellStyle name="hola 3 23 2" xfId="5037" xr:uid="{0952489A-AAC6-45A2-84B2-2EB9B940F0DD}"/>
    <cellStyle name="hola 3 23 3" xfId="2963" xr:uid="{096A3D67-14D0-4CC4-B676-FBC84A832AC7}"/>
    <cellStyle name="hola 3 24" xfId="826" xr:uid="{00000000-0005-0000-0000-000039030000}"/>
    <cellStyle name="hola 3 24 2" xfId="5038" xr:uid="{3DEA38FF-5F45-4BBB-98D3-E09901EA4824}"/>
    <cellStyle name="hola 3 24 3" xfId="2964" xr:uid="{3913D951-730F-4E62-935F-66B594FFA236}"/>
    <cellStyle name="hola 3 25" xfId="827" xr:uid="{00000000-0005-0000-0000-00003A030000}"/>
    <cellStyle name="hola 3 25 2" xfId="5039" xr:uid="{6BB5A28D-8319-4969-B418-305465628C1C}"/>
    <cellStyle name="hola 3 25 3" xfId="2965" xr:uid="{3ACCA947-E2AC-4F15-887B-98A9C479BDA5}"/>
    <cellStyle name="hola 3 26" xfId="828" xr:uid="{00000000-0005-0000-0000-00003B030000}"/>
    <cellStyle name="hola 3 26 2" xfId="5040" xr:uid="{96812CEA-B782-4FB1-B049-42D5DB9FDEDB}"/>
    <cellStyle name="hola 3 26 3" xfId="2966" xr:uid="{CF0F451F-ED94-4553-932F-07C9CD15D082}"/>
    <cellStyle name="hola 3 27" xfId="829" xr:uid="{00000000-0005-0000-0000-00003C030000}"/>
    <cellStyle name="hola 3 27 2" xfId="5041" xr:uid="{51AAB39E-A286-4759-839C-B9B1AF3EFCE9}"/>
    <cellStyle name="hola 3 27 3" xfId="2967" xr:uid="{062E101F-60BF-474B-BE2C-AB0486D16A4F}"/>
    <cellStyle name="hola 3 28" xfId="830" xr:uid="{00000000-0005-0000-0000-00003D030000}"/>
    <cellStyle name="hola 3 28 2" xfId="5042" xr:uid="{5A1C5D04-4793-4B2D-BE9C-ACA87464B696}"/>
    <cellStyle name="hola 3 28 3" xfId="2968" xr:uid="{344902D8-35C6-4F79-9E22-6DD572842313}"/>
    <cellStyle name="hola 3 29" xfId="831" xr:uid="{00000000-0005-0000-0000-00003E030000}"/>
    <cellStyle name="hola 3 29 2" xfId="5043" xr:uid="{2F8D1B15-BE0B-4A42-8F1F-C6F4AF135A7D}"/>
    <cellStyle name="hola 3 29 3" xfId="2969" xr:uid="{FAEDE176-5F32-4E8A-8E55-0EB1F7FC3F50}"/>
    <cellStyle name="hola 3 3" xfId="832" xr:uid="{00000000-0005-0000-0000-00003F030000}"/>
    <cellStyle name="hola 3 3 2" xfId="5044" xr:uid="{00158CD7-72C6-4120-9598-E47422DC4C4C}"/>
    <cellStyle name="hola 3 3 3" xfId="2970" xr:uid="{E11A0B1F-6DFA-443C-A9C5-4765E966F107}"/>
    <cellStyle name="hola 3 30" xfId="5022" xr:uid="{E84C3EEB-4B5B-4350-9399-68C1345B7758}"/>
    <cellStyle name="hola 3 31" xfId="2948" xr:uid="{8D2B1011-E56D-426C-9D2C-8F51FC29EE5A}"/>
    <cellStyle name="hola 3 4" xfId="833" xr:uid="{00000000-0005-0000-0000-000040030000}"/>
    <cellStyle name="hola 3 4 2" xfId="5045" xr:uid="{5AF34D4C-65F3-4C50-8336-F621F0E6DD51}"/>
    <cellStyle name="hola 3 4 3" xfId="2971" xr:uid="{D0973314-6368-4DD5-975D-97C707E54DB4}"/>
    <cellStyle name="hola 3 5" xfId="834" xr:uid="{00000000-0005-0000-0000-000041030000}"/>
    <cellStyle name="hola 3 5 2" xfId="5046" xr:uid="{C0AB6688-25FC-4229-8FEB-BBD5A3298A41}"/>
    <cellStyle name="hola 3 5 3" xfId="2972" xr:uid="{EC908E73-5C4F-4041-B2E1-9F56C66206E3}"/>
    <cellStyle name="hola 3 6" xfId="835" xr:uid="{00000000-0005-0000-0000-000042030000}"/>
    <cellStyle name="hola 3 6 2" xfId="5047" xr:uid="{F2AEA7F3-E4E4-415B-A10B-43370A8CA1C5}"/>
    <cellStyle name="hola 3 6 3" xfId="2973" xr:uid="{A972CDBD-A115-429A-B087-6F5BD3575E4C}"/>
    <cellStyle name="hola 3 7" xfId="836" xr:uid="{00000000-0005-0000-0000-000043030000}"/>
    <cellStyle name="hola 3 7 2" xfId="5048" xr:uid="{F5538D67-7148-4435-8326-2C5FC49698CA}"/>
    <cellStyle name="hola 3 7 3" xfId="2974" xr:uid="{17954DF5-87AD-4844-BF15-7F0CA5AD9CED}"/>
    <cellStyle name="hola 3 8" xfId="837" xr:uid="{00000000-0005-0000-0000-000044030000}"/>
    <cellStyle name="hola 3 8 2" xfId="5049" xr:uid="{336B394C-6758-45D6-B717-C391AF3C5960}"/>
    <cellStyle name="hola 3 8 3" xfId="2975" xr:uid="{BE992770-50A9-4E99-89A2-68D429EDD593}"/>
    <cellStyle name="hola 3 9" xfId="838" xr:uid="{00000000-0005-0000-0000-000045030000}"/>
    <cellStyle name="hola 3 9 2" xfId="5050" xr:uid="{8C1C3484-0666-4C06-9E6E-C306C748CBD2}"/>
    <cellStyle name="hola 3 9 3" xfId="2976" xr:uid="{85B069CF-7D24-41A1-A5E4-38AA2DF59847}"/>
    <cellStyle name="hola 4" xfId="839" xr:uid="{00000000-0005-0000-0000-000046030000}"/>
    <cellStyle name="hola 4 10" xfId="840" xr:uid="{00000000-0005-0000-0000-000047030000}"/>
    <cellStyle name="hola 4 10 2" xfId="5052" xr:uid="{A545A671-81BE-42A7-8DC7-9CEF097D1154}"/>
    <cellStyle name="hola 4 10 3" xfId="2978" xr:uid="{209D2DA4-CF8E-4229-A75E-A17E4D232C6F}"/>
    <cellStyle name="hola 4 11" xfId="841" xr:uid="{00000000-0005-0000-0000-000048030000}"/>
    <cellStyle name="hola 4 11 2" xfId="5053" xr:uid="{B08D68F1-8C28-430B-BC0C-D2E39FC3392D}"/>
    <cellStyle name="hola 4 11 3" xfId="2979" xr:uid="{05D12A53-1964-40D2-A29D-CBFB5ABD47AE}"/>
    <cellStyle name="hola 4 12" xfId="842" xr:uid="{00000000-0005-0000-0000-000049030000}"/>
    <cellStyle name="hola 4 12 2" xfId="5054" xr:uid="{0BAC3C0F-3444-4518-967B-497827101C20}"/>
    <cellStyle name="hola 4 12 3" xfId="2980" xr:uid="{43309ED1-8E36-4A28-85AB-DFB4FC5D0672}"/>
    <cellStyle name="hola 4 13" xfId="843" xr:uid="{00000000-0005-0000-0000-00004A030000}"/>
    <cellStyle name="hola 4 13 2" xfId="5055" xr:uid="{7C11B739-F325-4E67-AAC8-B3F948EC52F1}"/>
    <cellStyle name="hola 4 13 3" xfId="2981" xr:uid="{C0F48DA2-B6E3-4C05-9AB9-8D2FB3A7886A}"/>
    <cellStyle name="hola 4 14" xfId="844" xr:uid="{00000000-0005-0000-0000-00004B030000}"/>
    <cellStyle name="hola 4 14 2" xfId="5056" xr:uid="{6CF17CE0-F2CC-48D5-AADB-8FB1C9B6C5B9}"/>
    <cellStyle name="hola 4 14 3" xfId="2982" xr:uid="{6D767D59-5326-431A-9340-8693FF04E62A}"/>
    <cellStyle name="hola 4 15" xfId="845" xr:uid="{00000000-0005-0000-0000-00004C030000}"/>
    <cellStyle name="hola 4 15 2" xfId="5057" xr:uid="{974BDB15-5F6E-4C97-BDCD-96C022041DD4}"/>
    <cellStyle name="hola 4 15 3" xfId="2983" xr:uid="{3BE2456D-144A-410D-8E07-2A326652F417}"/>
    <cellStyle name="hola 4 16" xfId="846" xr:uid="{00000000-0005-0000-0000-00004D030000}"/>
    <cellStyle name="hola 4 16 2" xfId="5058" xr:uid="{2CE9CA8B-AA1C-4EBB-AD70-3E9FDEFFFC0F}"/>
    <cellStyle name="hola 4 16 3" xfId="2984" xr:uid="{AC8D79FF-0ADA-4355-9F9F-10ED163FEFD5}"/>
    <cellStyle name="hola 4 17" xfId="847" xr:uid="{00000000-0005-0000-0000-00004E030000}"/>
    <cellStyle name="hola 4 17 2" xfId="5059" xr:uid="{2574A4C4-19A0-4E12-8EE8-4F86B89A26C2}"/>
    <cellStyle name="hola 4 17 3" xfId="2985" xr:uid="{20F1FAB3-DE9D-4455-980E-41FB124672D2}"/>
    <cellStyle name="hola 4 18" xfId="848" xr:uid="{00000000-0005-0000-0000-00004F030000}"/>
    <cellStyle name="hola 4 18 2" xfId="5060" xr:uid="{98401210-36EA-4C64-9703-67AB1D082C66}"/>
    <cellStyle name="hola 4 18 3" xfId="2986" xr:uid="{DAF7D5A0-CE79-4A1B-B76D-EDB1CD3C00DD}"/>
    <cellStyle name="hola 4 19" xfId="849" xr:uid="{00000000-0005-0000-0000-000050030000}"/>
    <cellStyle name="hola 4 19 2" xfId="5061" xr:uid="{BAAC5D7C-C0D7-421C-98D6-52F8AEF14E95}"/>
    <cellStyle name="hola 4 19 3" xfId="2987" xr:uid="{A32A15C3-9102-457C-900B-9F9EC277E863}"/>
    <cellStyle name="hola 4 2" xfId="850" xr:uid="{00000000-0005-0000-0000-000051030000}"/>
    <cellStyle name="hola 4 2 2" xfId="5062" xr:uid="{7AA47E71-C946-4F32-8FDE-A0341EF7C32F}"/>
    <cellStyle name="hola 4 2 3" xfId="2988" xr:uid="{363BA84B-AF40-4149-BB87-F18CF55EE012}"/>
    <cellStyle name="hola 4 20" xfId="851" xr:uid="{00000000-0005-0000-0000-000052030000}"/>
    <cellStyle name="hola 4 20 2" xfId="5063" xr:uid="{69BBFE1E-D3B2-47BB-8152-1B6F9C7FDDC8}"/>
    <cellStyle name="hola 4 20 3" xfId="2989" xr:uid="{C9E55F43-FCBC-48D0-9100-47B16429DAE4}"/>
    <cellStyle name="hola 4 21" xfId="852" xr:uid="{00000000-0005-0000-0000-000053030000}"/>
    <cellStyle name="hola 4 21 2" xfId="5064" xr:uid="{18051995-7F64-4F12-B9D3-A6B862CC34E2}"/>
    <cellStyle name="hola 4 21 3" xfId="2990" xr:uid="{4D4E863C-E228-43DA-BDE3-4C1D5E71898C}"/>
    <cellStyle name="hola 4 22" xfId="853" xr:uid="{00000000-0005-0000-0000-000054030000}"/>
    <cellStyle name="hola 4 22 2" xfId="5065" xr:uid="{6B0EE78E-AB2A-4816-BBEA-DEC10F1EC93A}"/>
    <cellStyle name="hola 4 22 3" xfId="2991" xr:uid="{1233B482-8548-4A90-B099-AACA7176120F}"/>
    <cellStyle name="hola 4 23" xfId="854" xr:uid="{00000000-0005-0000-0000-000055030000}"/>
    <cellStyle name="hola 4 23 2" xfId="5066" xr:uid="{1F0D3946-B605-4EE5-8DE5-83529B62E72C}"/>
    <cellStyle name="hola 4 23 3" xfId="2992" xr:uid="{CE414AFA-31FC-4522-B8D5-ACC6288E0531}"/>
    <cellStyle name="hola 4 24" xfId="855" xr:uid="{00000000-0005-0000-0000-000056030000}"/>
    <cellStyle name="hola 4 24 2" xfId="5067" xr:uid="{7A0BEAEB-AD59-4185-B928-7FAD2ADAE8EA}"/>
    <cellStyle name="hola 4 24 3" xfId="2993" xr:uid="{4EB24895-BC14-4AAC-A70F-B250DFF47C0F}"/>
    <cellStyle name="hola 4 25" xfId="856" xr:uid="{00000000-0005-0000-0000-000057030000}"/>
    <cellStyle name="hola 4 25 2" xfId="5068" xr:uid="{D1B3BD89-D899-42A5-948D-5C89383BD14A}"/>
    <cellStyle name="hola 4 25 3" xfId="2994" xr:uid="{511B98AD-338A-452F-9C6B-08D5254B1201}"/>
    <cellStyle name="hola 4 26" xfId="857" xr:uid="{00000000-0005-0000-0000-000058030000}"/>
    <cellStyle name="hola 4 26 2" xfId="5069" xr:uid="{8EC8417B-1C91-4500-98C9-3A7A3942DEB3}"/>
    <cellStyle name="hola 4 26 3" xfId="2995" xr:uid="{055DB52F-30D0-4588-B4CA-0F57CB415429}"/>
    <cellStyle name="hola 4 27" xfId="858" xr:uid="{00000000-0005-0000-0000-000059030000}"/>
    <cellStyle name="hola 4 27 2" xfId="5070" xr:uid="{AEBF9F84-CDAF-48C5-A641-255CF00A108E}"/>
    <cellStyle name="hola 4 27 3" xfId="2996" xr:uid="{56E8B549-6703-433B-9750-53FDEF17E905}"/>
    <cellStyle name="hola 4 28" xfId="859" xr:uid="{00000000-0005-0000-0000-00005A030000}"/>
    <cellStyle name="hola 4 28 2" xfId="5071" xr:uid="{D7BD9E24-CB48-4000-86EC-88FF19711A40}"/>
    <cellStyle name="hola 4 28 3" xfId="2997" xr:uid="{7584132B-AA92-498E-A99F-A1F71C0AA361}"/>
    <cellStyle name="hola 4 29" xfId="860" xr:uid="{00000000-0005-0000-0000-00005B030000}"/>
    <cellStyle name="hola 4 29 2" xfId="5072" xr:uid="{168466BB-C707-4580-B4D2-1C989C043DCA}"/>
    <cellStyle name="hola 4 29 3" xfId="2998" xr:uid="{A3C559B8-F029-4D22-A8A7-0DD4FF45328D}"/>
    <cellStyle name="hola 4 3" xfId="861" xr:uid="{00000000-0005-0000-0000-00005C030000}"/>
    <cellStyle name="hola 4 3 2" xfId="5073" xr:uid="{7E36DA43-D658-46D1-ACEF-AFE323C1B628}"/>
    <cellStyle name="hola 4 3 3" xfId="2999" xr:uid="{70F76C8E-7E22-4DE9-9036-C37DF6E3F141}"/>
    <cellStyle name="hola 4 30" xfId="5051" xr:uid="{BAD1B78D-E324-479E-89E8-A6EECFFD2C8A}"/>
    <cellStyle name="hola 4 31" xfId="2977" xr:uid="{D3F8FEF0-03F1-4C08-BFF1-E70EA8CAA436}"/>
    <cellStyle name="hola 4 4" xfId="862" xr:uid="{00000000-0005-0000-0000-00005D030000}"/>
    <cellStyle name="hola 4 4 2" xfId="5074" xr:uid="{97388841-858A-4446-BE2E-833E3EDE393D}"/>
    <cellStyle name="hola 4 4 3" xfId="3000" xr:uid="{08D35F33-63FD-49B7-8EE7-E25D8885B6DC}"/>
    <cellStyle name="hola 4 5" xfId="863" xr:uid="{00000000-0005-0000-0000-00005E030000}"/>
    <cellStyle name="hola 4 5 2" xfId="5075" xr:uid="{317D5B44-0FE1-46D9-B236-E1F612031673}"/>
    <cellStyle name="hola 4 5 3" xfId="3001" xr:uid="{FD5C698D-2385-485A-AF31-61D486FE5C0F}"/>
    <cellStyle name="hola 4 6" xfId="864" xr:uid="{00000000-0005-0000-0000-00005F030000}"/>
    <cellStyle name="hola 4 6 2" xfId="5076" xr:uid="{1952D661-F161-454C-84B0-F713D70B2B8B}"/>
    <cellStyle name="hola 4 6 3" xfId="3002" xr:uid="{20667F13-8446-460C-A10A-DF50F839B290}"/>
    <cellStyle name="hola 4 7" xfId="865" xr:uid="{00000000-0005-0000-0000-000060030000}"/>
    <cellStyle name="hola 4 7 2" xfId="5077" xr:uid="{407B76F4-DF0D-4EAF-BEEC-44FB659C2F22}"/>
    <cellStyle name="hola 4 7 3" xfId="3003" xr:uid="{B345AFD4-6585-4549-B53B-34E9ACCB0A87}"/>
    <cellStyle name="hola 4 8" xfId="866" xr:uid="{00000000-0005-0000-0000-000061030000}"/>
    <cellStyle name="hola 4 8 2" xfId="5078" xr:uid="{7405DD35-2064-498F-9927-142764DB5A93}"/>
    <cellStyle name="hola 4 8 3" xfId="3004" xr:uid="{D2319599-51EB-42D2-9FE9-661B007B019B}"/>
    <cellStyle name="hola 4 9" xfId="867" xr:uid="{00000000-0005-0000-0000-000062030000}"/>
    <cellStyle name="hola 4 9 2" xfId="5079" xr:uid="{56D87859-B752-484B-BD29-DEB04BAA939A}"/>
    <cellStyle name="hola 4 9 3" xfId="3005" xr:uid="{3A6FC8FF-8E7D-42FA-B73D-F5B3F7139666}"/>
    <cellStyle name="hola 5" xfId="868" xr:uid="{00000000-0005-0000-0000-000063030000}"/>
    <cellStyle name="hola 5 10" xfId="869" xr:uid="{00000000-0005-0000-0000-000064030000}"/>
    <cellStyle name="hola 5 10 2" xfId="5081" xr:uid="{899C33A9-E09E-42E7-AD82-144E4D7C1E72}"/>
    <cellStyle name="hola 5 10 3" xfId="3007" xr:uid="{09D3A9DE-0625-4E5B-A7ED-6EC6E67F87A0}"/>
    <cellStyle name="hola 5 11" xfId="870" xr:uid="{00000000-0005-0000-0000-000065030000}"/>
    <cellStyle name="hola 5 11 2" xfId="5082" xr:uid="{7A29612C-D64D-41DA-86B6-65D3DFAF9D1A}"/>
    <cellStyle name="hola 5 11 3" xfId="3008" xr:uid="{6E822CEE-BA05-4A1C-92F3-9C83BE1A3260}"/>
    <cellStyle name="hola 5 12" xfId="871" xr:uid="{00000000-0005-0000-0000-000066030000}"/>
    <cellStyle name="hola 5 12 2" xfId="5083" xr:uid="{279090B0-D103-4025-8CA2-E2D1E1206046}"/>
    <cellStyle name="hola 5 12 3" xfId="3009" xr:uid="{598FE493-2203-4108-BAA5-E7A6C79F68A2}"/>
    <cellStyle name="hola 5 13" xfId="872" xr:uid="{00000000-0005-0000-0000-000067030000}"/>
    <cellStyle name="hola 5 13 2" xfId="5084" xr:uid="{03A6F4A8-6473-4F76-B72B-71526A37A7D6}"/>
    <cellStyle name="hola 5 13 3" xfId="3010" xr:uid="{8F757B2A-ABD9-4F60-B0D7-3E146E66ED75}"/>
    <cellStyle name="hola 5 14" xfId="873" xr:uid="{00000000-0005-0000-0000-000068030000}"/>
    <cellStyle name="hola 5 14 2" xfId="5085" xr:uid="{0E2E1B32-268F-42D7-B6FF-0ACEC1717B7A}"/>
    <cellStyle name="hola 5 14 3" xfId="3011" xr:uid="{07F3D7CD-092F-4EAA-9F37-4BC917FB123E}"/>
    <cellStyle name="hola 5 15" xfId="874" xr:uid="{00000000-0005-0000-0000-000069030000}"/>
    <cellStyle name="hola 5 15 2" xfId="5086" xr:uid="{486B37EA-30FE-4710-A670-A0D274FC1CB6}"/>
    <cellStyle name="hola 5 15 3" xfId="3012" xr:uid="{EA8BCD10-C43E-48C8-8C7D-054490D96320}"/>
    <cellStyle name="hola 5 16" xfId="875" xr:uid="{00000000-0005-0000-0000-00006A030000}"/>
    <cellStyle name="hola 5 16 2" xfId="5087" xr:uid="{C7B80CE8-6C51-41EA-86E4-DCA9CFF3C648}"/>
    <cellStyle name="hola 5 16 3" xfId="3013" xr:uid="{23747EC4-BB0D-4FFD-A100-5447610A7BF0}"/>
    <cellStyle name="hola 5 17" xfId="876" xr:uid="{00000000-0005-0000-0000-00006B030000}"/>
    <cellStyle name="hola 5 17 2" xfId="5088" xr:uid="{EF57AA62-8734-44B5-889A-8042C9632218}"/>
    <cellStyle name="hola 5 17 3" xfId="3014" xr:uid="{7F204C1F-B3E2-4E37-BB89-13A4C9C4BE3A}"/>
    <cellStyle name="hola 5 18" xfId="877" xr:uid="{00000000-0005-0000-0000-00006C030000}"/>
    <cellStyle name="hola 5 18 2" xfId="5089" xr:uid="{04BBDA29-E4BE-44FF-AD8C-7B63A82C21FD}"/>
    <cellStyle name="hola 5 18 3" xfId="3015" xr:uid="{BFFA727C-FC70-4A9F-947A-6BCECEEEB991}"/>
    <cellStyle name="hola 5 19" xfId="878" xr:uid="{00000000-0005-0000-0000-00006D030000}"/>
    <cellStyle name="hola 5 19 2" xfId="5090" xr:uid="{8628BF05-A2A2-4B4C-8DA6-7EC9007F7A4C}"/>
    <cellStyle name="hola 5 19 3" xfId="3016" xr:uid="{89357774-F7F8-46D1-97DC-7C3DC0B15528}"/>
    <cellStyle name="hola 5 2" xfId="879" xr:uid="{00000000-0005-0000-0000-00006E030000}"/>
    <cellStyle name="hola 5 2 2" xfId="5091" xr:uid="{72579C9E-F233-4EA7-88DE-C93B170038B1}"/>
    <cellStyle name="hola 5 2 3" xfId="3017" xr:uid="{4C329FC6-BD61-4336-A765-20A96D1330DF}"/>
    <cellStyle name="hola 5 20" xfId="880" xr:uid="{00000000-0005-0000-0000-00006F030000}"/>
    <cellStyle name="hola 5 20 2" xfId="5092" xr:uid="{9CC3CA37-6B42-4280-99C4-028D6F40B5A8}"/>
    <cellStyle name="hola 5 20 3" xfId="3018" xr:uid="{1011DD04-ACA5-4DCD-A0E4-AA748B43E207}"/>
    <cellStyle name="hola 5 21" xfId="881" xr:uid="{00000000-0005-0000-0000-000070030000}"/>
    <cellStyle name="hola 5 21 2" xfId="5093" xr:uid="{9C0B23DC-9157-4BB7-B4A5-A2809E6D1891}"/>
    <cellStyle name="hola 5 21 3" xfId="3019" xr:uid="{4E5DC1E0-751F-42B6-96B7-33A335FD2B09}"/>
    <cellStyle name="hola 5 22" xfId="882" xr:uid="{00000000-0005-0000-0000-000071030000}"/>
    <cellStyle name="hola 5 22 2" xfId="5094" xr:uid="{F6D75F8C-A67C-4669-BE59-AC9A853F63C1}"/>
    <cellStyle name="hola 5 22 3" xfId="3020" xr:uid="{9CED2C17-E5F5-4599-AC1E-09B0D968B8F4}"/>
    <cellStyle name="hola 5 23" xfId="883" xr:uid="{00000000-0005-0000-0000-000072030000}"/>
    <cellStyle name="hola 5 23 2" xfId="5095" xr:uid="{082714A9-26E9-4057-B131-99D685C78039}"/>
    <cellStyle name="hola 5 23 3" xfId="3021" xr:uid="{637385E8-4A9A-40DE-9B6F-21827A01615A}"/>
    <cellStyle name="hola 5 24" xfId="884" xr:uid="{00000000-0005-0000-0000-000073030000}"/>
    <cellStyle name="hola 5 24 2" xfId="5096" xr:uid="{4FC72BE1-E5C0-4C5A-82E3-A5ACFF780372}"/>
    <cellStyle name="hola 5 24 3" xfId="3022" xr:uid="{4B640F03-5ADD-4258-8670-C167E727868C}"/>
    <cellStyle name="hola 5 25" xfId="885" xr:uid="{00000000-0005-0000-0000-000074030000}"/>
    <cellStyle name="hola 5 25 2" xfId="5097" xr:uid="{59FB5803-D0A8-4EBE-B953-AA64BD5A5234}"/>
    <cellStyle name="hola 5 25 3" xfId="3023" xr:uid="{505BD381-9FDE-40E3-84C3-29F8EEB2399C}"/>
    <cellStyle name="hola 5 26" xfId="886" xr:uid="{00000000-0005-0000-0000-000075030000}"/>
    <cellStyle name="hola 5 26 2" xfId="5098" xr:uid="{48B9C21B-F967-444E-B8B3-400DB2F6D120}"/>
    <cellStyle name="hola 5 26 3" xfId="3024" xr:uid="{99F6CB59-CDA6-419A-A929-01D6F95F8CDD}"/>
    <cellStyle name="hola 5 27" xfId="887" xr:uid="{00000000-0005-0000-0000-000076030000}"/>
    <cellStyle name="hola 5 27 2" xfId="5099" xr:uid="{3DA8BCC2-AFAF-4137-AAC0-B7180027E4C3}"/>
    <cellStyle name="hola 5 27 3" xfId="3025" xr:uid="{98DD7A3A-5F87-41DF-9A61-B2C471472EAB}"/>
    <cellStyle name="hola 5 28" xfId="888" xr:uid="{00000000-0005-0000-0000-000077030000}"/>
    <cellStyle name="hola 5 28 2" xfId="5100" xr:uid="{9FE11ED0-CC43-4FC0-A914-CFCAEEDD488D}"/>
    <cellStyle name="hola 5 28 3" xfId="3026" xr:uid="{A4A903CC-68B1-4FC6-AA8F-B7BAD59E539D}"/>
    <cellStyle name="hola 5 29" xfId="889" xr:uid="{00000000-0005-0000-0000-000078030000}"/>
    <cellStyle name="hola 5 29 2" xfId="5101" xr:uid="{BAE23072-AAB8-4CF5-90A5-9590B73A3AFC}"/>
    <cellStyle name="hola 5 29 3" xfId="3027" xr:uid="{A0D5FF2C-1BBF-4FF3-B0D3-4D83B22BFE78}"/>
    <cellStyle name="hola 5 3" xfId="890" xr:uid="{00000000-0005-0000-0000-000079030000}"/>
    <cellStyle name="hola 5 3 2" xfId="5102" xr:uid="{88BF8716-4ACA-40D4-B948-51D0932BE448}"/>
    <cellStyle name="hola 5 3 3" xfId="3028" xr:uid="{ADF45653-68A4-479E-B3B6-00A470E16A1D}"/>
    <cellStyle name="hola 5 30" xfId="5080" xr:uid="{C6196C24-394F-4010-9CCB-7427364D995D}"/>
    <cellStyle name="hola 5 31" xfId="3006" xr:uid="{73006BAC-8A7D-4F17-8773-8EFE453DCA8A}"/>
    <cellStyle name="hola 5 4" xfId="891" xr:uid="{00000000-0005-0000-0000-00007A030000}"/>
    <cellStyle name="hola 5 4 2" xfId="5103" xr:uid="{2098069E-2E64-41B7-B81F-706F3E9D8A4B}"/>
    <cellStyle name="hola 5 4 3" xfId="3029" xr:uid="{A7B479AB-0E05-4338-B88A-D5B3B54D7286}"/>
    <cellStyle name="hola 5 5" xfId="892" xr:uid="{00000000-0005-0000-0000-00007B030000}"/>
    <cellStyle name="hola 5 5 2" xfId="5104" xr:uid="{897E2A64-5D7B-41C7-A72E-2D1614ECE0DE}"/>
    <cellStyle name="hola 5 5 3" xfId="3030" xr:uid="{D123078E-651E-4DFC-A58E-2D05036996FB}"/>
    <cellStyle name="hola 5 6" xfId="893" xr:uid="{00000000-0005-0000-0000-00007C030000}"/>
    <cellStyle name="hola 5 6 2" xfId="5105" xr:uid="{37B238FA-1FB2-40C8-B8A1-03607E436E61}"/>
    <cellStyle name="hola 5 6 3" xfId="3031" xr:uid="{4BBC12B0-68DE-4847-85FD-6146250BE52D}"/>
    <cellStyle name="hola 5 7" xfId="894" xr:uid="{00000000-0005-0000-0000-00007D030000}"/>
    <cellStyle name="hola 5 7 2" xfId="5106" xr:uid="{53AD11CB-7B82-491B-8D9B-3A0E1D6458C9}"/>
    <cellStyle name="hola 5 7 3" xfId="3032" xr:uid="{7F7FDD41-98E5-47EE-990F-0CFB6F71444D}"/>
    <cellStyle name="hola 5 8" xfId="895" xr:uid="{00000000-0005-0000-0000-00007E030000}"/>
    <cellStyle name="hola 5 8 2" xfId="5107" xr:uid="{A2E9F13F-C949-4A5F-81D5-7CA1EF392414}"/>
    <cellStyle name="hola 5 8 3" xfId="3033" xr:uid="{E38CE613-4B00-4B04-ACE4-D1621E79BFE2}"/>
    <cellStyle name="hola 5 9" xfId="896" xr:uid="{00000000-0005-0000-0000-00007F030000}"/>
    <cellStyle name="hola 5 9 2" xfId="5108" xr:uid="{9B4F57BD-CF5C-4347-A2E0-5836348B83B0}"/>
    <cellStyle name="hola 5 9 3" xfId="3034" xr:uid="{4C019806-42C7-4E77-90DC-894C596B0929}"/>
    <cellStyle name="hola 6" xfId="897" xr:uid="{00000000-0005-0000-0000-000080030000}"/>
    <cellStyle name="hola 6 10" xfId="898" xr:uid="{00000000-0005-0000-0000-000081030000}"/>
    <cellStyle name="hola 6 10 2" xfId="5110" xr:uid="{B3D66387-D574-4A1A-8700-83060DBDBD00}"/>
    <cellStyle name="hola 6 10 3" xfId="3036" xr:uid="{5FD26C07-FA26-4DA1-B7CB-0DB44FB0D1B5}"/>
    <cellStyle name="hola 6 11" xfId="899" xr:uid="{00000000-0005-0000-0000-000082030000}"/>
    <cellStyle name="hola 6 11 2" xfId="5111" xr:uid="{38C6860C-EC3E-4E62-A029-F72DCBC7C0A1}"/>
    <cellStyle name="hola 6 11 3" xfId="3037" xr:uid="{A37FC5D6-26AE-4009-A10F-1C3C7E282A98}"/>
    <cellStyle name="hola 6 12" xfId="900" xr:uid="{00000000-0005-0000-0000-000083030000}"/>
    <cellStyle name="hola 6 12 2" xfId="5112" xr:uid="{95AF666F-5035-49D5-B5AC-D37A64E9A85B}"/>
    <cellStyle name="hola 6 12 3" xfId="3038" xr:uid="{DDA54A31-3956-4345-A65E-69363589DBEE}"/>
    <cellStyle name="hola 6 13" xfId="901" xr:uid="{00000000-0005-0000-0000-000084030000}"/>
    <cellStyle name="hola 6 13 2" xfId="5113" xr:uid="{0DE55EC5-F36A-41CC-BD8A-FEC968881497}"/>
    <cellStyle name="hola 6 13 3" xfId="3039" xr:uid="{F8F8D681-5EF5-4A2E-979D-AA1516612DDF}"/>
    <cellStyle name="hola 6 14" xfId="902" xr:uid="{00000000-0005-0000-0000-000085030000}"/>
    <cellStyle name="hola 6 14 2" xfId="5114" xr:uid="{4EEB6272-01EE-4E9B-BC90-B785AF6A1395}"/>
    <cellStyle name="hola 6 14 3" xfId="3040" xr:uid="{83899588-B8BF-49FD-9C54-DC22C822E217}"/>
    <cellStyle name="hola 6 15" xfId="903" xr:uid="{00000000-0005-0000-0000-000086030000}"/>
    <cellStyle name="hola 6 15 2" xfId="5115" xr:uid="{8646E912-9995-49FB-8E23-36F917D23F84}"/>
    <cellStyle name="hola 6 15 3" xfId="3041" xr:uid="{EE064047-8C69-48B3-9309-D45F809627DA}"/>
    <cellStyle name="hola 6 16" xfId="904" xr:uid="{00000000-0005-0000-0000-000087030000}"/>
    <cellStyle name="hola 6 16 2" xfId="5116" xr:uid="{42968D62-620E-4760-BF25-1E0214B0EC17}"/>
    <cellStyle name="hola 6 16 3" xfId="3042" xr:uid="{13DE421D-4BD5-4F3C-B0B6-49E42B09A90E}"/>
    <cellStyle name="hola 6 17" xfId="905" xr:uid="{00000000-0005-0000-0000-000088030000}"/>
    <cellStyle name="hola 6 17 2" xfId="5117" xr:uid="{113AA260-C4C7-4CFE-A49D-C6EA876BD890}"/>
    <cellStyle name="hola 6 17 3" xfId="3043" xr:uid="{98450357-B03C-43A3-BC31-B4698E0E1926}"/>
    <cellStyle name="hola 6 18" xfId="906" xr:uid="{00000000-0005-0000-0000-000089030000}"/>
    <cellStyle name="hola 6 18 2" xfId="5118" xr:uid="{B03F8B12-B97C-4DD7-9F03-971BF736A507}"/>
    <cellStyle name="hola 6 18 3" xfId="3044" xr:uid="{436A50AB-4094-415D-A4DE-CE8271EFBFB2}"/>
    <cellStyle name="hola 6 19" xfId="907" xr:uid="{00000000-0005-0000-0000-00008A030000}"/>
    <cellStyle name="hola 6 19 2" xfId="5119" xr:uid="{257417FC-F9F0-4381-8EBF-7AEDAE195126}"/>
    <cellStyle name="hola 6 19 3" xfId="3045" xr:uid="{22CB2F23-7BA6-4380-B867-D825D19C2FBF}"/>
    <cellStyle name="hola 6 2" xfId="908" xr:uid="{00000000-0005-0000-0000-00008B030000}"/>
    <cellStyle name="hola 6 2 2" xfId="5120" xr:uid="{069A413B-B32D-455E-80D5-2363AE67F90D}"/>
    <cellStyle name="hola 6 2 3" xfId="3046" xr:uid="{A4C192D0-A842-4780-9B8E-4B4ADD0AC492}"/>
    <cellStyle name="hola 6 20" xfId="909" xr:uid="{00000000-0005-0000-0000-00008C030000}"/>
    <cellStyle name="hola 6 20 2" xfId="5121" xr:uid="{545937DE-2B2C-4063-827D-154080027FEC}"/>
    <cellStyle name="hola 6 20 3" xfId="3047" xr:uid="{8AA3C486-105D-40E9-85C1-8F4010A1C548}"/>
    <cellStyle name="hola 6 21" xfId="910" xr:uid="{00000000-0005-0000-0000-00008D030000}"/>
    <cellStyle name="hola 6 21 2" xfId="5122" xr:uid="{24308BFB-9388-4E5A-BB69-E7B3336E5EF1}"/>
    <cellStyle name="hola 6 21 3" xfId="3048" xr:uid="{4C87BC22-1EE9-4AA3-B70A-53A2F3D3BF29}"/>
    <cellStyle name="hola 6 22" xfId="911" xr:uid="{00000000-0005-0000-0000-00008E030000}"/>
    <cellStyle name="hola 6 22 2" xfId="5123" xr:uid="{9183DD4E-34AF-4790-A33C-E2467C55EAD2}"/>
    <cellStyle name="hola 6 22 3" xfId="3049" xr:uid="{E31EA62F-E44E-4F6B-812A-3D0E0695CDB8}"/>
    <cellStyle name="hola 6 23" xfId="912" xr:uid="{00000000-0005-0000-0000-00008F030000}"/>
    <cellStyle name="hola 6 23 2" xfId="5124" xr:uid="{6FBE2169-7243-4263-BBC6-91665CBC2175}"/>
    <cellStyle name="hola 6 23 3" xfId="3050" xr:uid="{50CE5084-149E-49BE-B999-08D5979AB76B}"/>
    <cellStyle name="hola 6 24" xfId="913" xr:uid="{00000000-0005-0000-0000-000090030000}"/>
    <cellStyle name="hola 6 24 2" xfId="5125" xr:uid="{0CAC596D-4BAC-48DD-ACB8-01730C6C8211}"/>
    <cellStyle name="hola 6 24 3" xfId="3051" xr:uid="{618AB828-1C6F-403C-A2C1-DBFFD2A3230B}"/>
    <cellStyle name="hola 6 25" xfId="914" xr:uid="{00000000-0005-0000-0000-000091030000}"/>
    <cellStyle name="hola 6 25 2" xfId="5126" xr:uid="{681CB33F-79B4-411D-BB40-7E3217B3DB44}"/>
    <cellStyle name="hola 6 25 3" xfId="3052" xr:uid="{32B7CD69-1EFB-4DE5-AF08-DF5FE488DEDD}"/>
    <cellStyle name="hola 6 26" xfId="915" xr:uid="{00000000-0005-0000-0000-000092030000}"/>
    <cellStyle name="hola 6 26 2" xfId="5127" xr:uid="{FB059084-2A34-4C6B-A000-E2E556F9536A}"/>
    <cellStyle name="hola 6 26 3" xfId="3053" xr:uid="{8B4A0D6E-4591-4F73-80E4-A92DBEEF3967}"/>
    <cellStyle name="hola 6 27" xfId="916" xr:uid="{00000000-0005-0000-0000-000093030000}"/>
    <cellStyle name="hola 6 27 2" xfId="5128" xr:uid="{3DF531BC-4145-40EC-B03F-F1735FFD64D9}"/>
    <cellStyle name="hola 6 27 3" xfId="3054" xr:uid="{15B33F36-75FF-4C75-9F62-54FDD020C3DB}"/>
    <cellStyle name="hola 6 28" xfId="917" xr:uid="{00000000-0005-0000-0000-000094030000}"/>
    <cellStyle name="hola 6 28 2" xfId="5129" xr:uid="{94413DD1-F14F-4250-9C99-FDDE303AE4B3}"/>
    <cellStyle name="hola 6 28 3" xfId="3055" xr:uid="{BF22BB89-CEAE-4D02-BBB8-BABF7EB99C42}"/>
    <cellStyle name="hola 6 29" xfId="918" xr:uid="{00000000-0005-0000-0000-000095030000}"/>
    <cellStyle name="hola 6 29 2" xfId="5130" xr:uid="{3B9F715B-F9A0-4E88-ADE5-885EE8F6FF78}"/>
    <cellStyle name="hola 6 29 3" xfId="3056" xr:uid="{C58AB816-06C5-4037-B727-A834E3873CE6}"/>
    <cellStyle name="hola 6 3" xfId="919" xr:uid="{00000000-0005-0000-0000-000096030000}"/>
    <cellStyle name="hola 6 3 2" xfId="5131" xr:uid="{F9408005-35BC-4F03-8412-B844DC7F496E}"/>
    <cellStyle name="hola 6 3 3" xfId="3057" xr:uid="{4CD49587-0AB6-4E6E-8355-B91BCADC3D6C}"/>
    <cellStyle name="hola 6 30" xfId="5109" xr:uid="{B4B9ABA2-D451-4EE3-98B4-CBF018E80B28}"/>
    <cellStyle name="hola 6 31" xfId="3035" xr:uid="{399464A6-288D-4774-90D7-9F8F502DE662}"/>
    <cellStyle name="hola 6 4" xfId="920" xr:uid="{00000000-0005-0000-0000-000097030000}"/>
    <cellStyle name="hola 6 4 2" xfId="5132" xr:uid="{13F50954-9A52-4CFE-9FF5-817CFDA0E998}"/>
    <cellStyle name="hola 6 4 3" xfId="3058" xr:uid="{71ADC8DC-06C0-4A4B-A071-3E5D1669E3A0}"/>
    <cellStyle name="hola 6 5" xfId="921" xr:uid="{00000000-0005-0000-0000-000098030000}"/>
    <cellStyle name="hola 6 5 2" xfId="5133" xr:uid="{09D5A1D9-0F68-4E61-92A9-28549072D807}"/>
    <cellStyle name="hola 6 5 3" xfId="3059" xr:uid="{EF8EA797-44D4-44A6-8CEF-DA537AF8FF97}"/>
    <cellStyle name="hola 6 6" xfId="922" xr:uid="{00000000-0005-0000-0000-000099030000}"/>
    <cellStyle name="hola 6 6 2" xfId="5134" xr:uid="{1F4EB13D-1EA1-4C3F-9F83-0F27FFA8C835}"/>
    <cellStyle name="hola 6 6 3" xfId="3060" xr:uid="{EFC38351-EA66-4CAC-8B54-B8B1FAF915E1}"/>
    <cellStyle name="hola 6 7" xfId="923" xr:uid="{00000000-0005-0000-0000-00009A030000}"/>
    <cellStyle name="hola 6 7 2" xfId="5135" xr:uid="{B44C1321-1A28-4197-8859-2BEC41F74E72}"/>
    <cellStyle name="hola 6 7 3" xfId="3061" xr:uid="{626B5DA0-DB19-4A39-8B69-3ADA7CB7A1C2}"/>
    <cellStyle name="hola 6 8" xfId="924" xr:uid="{00000000-0005-0000-0000-00009B030000}"/>
    <cellStyle name="hola 6 8 2" xfId="5136" xr:uid="{1A02C2F9-0091-475A-BF55-4511CDC1D172}"/>
    <cellStyle name="hola 6 8 3" xfId="3062" xr:uid="{3746017D-D512-4EA3-9AC1-E01927EDB151}"/>
    <cellStyle name="hola 6 9" xfId="925" xr:uid="{00000000-0005-0000-0000-00009C030000}"/>
    <cellStyle name="hola 6 9 2" xfId="5137" xr:uid="{C645FCC1-F656-4640-940D-9071DF72947E}"/>
    <cellStyle name="hola 6 9 3" xfId="3063" xr:uid="{EE10CFE5-39FB-4B81-907B-8D55143A8D27}"/>
    <cellStyle name="hola 7" xfId="4992" xr:uid="{BB5243E0-7585-45D0-91A6-1E7D797D2D9D}"/>
    <cellStyle name="hola 8" xfId="2918" xr:uid="{0CDB9347-F92F-475C-9E2F-E7111CC26EBC}"/>
    <cellStyle name="Input [yellow]" xfId="926" xr:uid="{00000000-0005-0000-0000-00009D030000}"/>
    <cellStyle name="Input 2" xfId="927" xr:uid="{00000000-0005-0000-0000-00009E030000}"/>
    <cellStyle name="Input 2 2" xfId="5138" xr:uid="{7A5E4CE2-D28E-4D74-A0BD-9B2D0A13B130}"/>
    <cellStyle name="Input 2 3" xfId="3064" xr:uid="{0D91BAF6-077A-4561-8A27-1B345221F00D}"/>
    <cellStyle name="Input 3" xfId="928" xr:uid="{00000000-0005-0000-0000-00009F030000}"/>
    <cellStyle name="Input 3 2" xfId="5139" xr:uid="{C0F7B74D-B49D-447A-A87D-F5752763D595}"/>
    <cellStyle name="Input 3 3" xfId="3065" xr:uid="{64B9373F-BAC5-4672-A68D-F26B336EDFB6}"/>
    <cellStyle name="Input 4" xfId="929" xr:uid="{00000000-0005-0000-0000-0000A0030000}"/>
    <cellStyle name="Input 4 2" xfId="5140" xr:uid="{6D8B544B-6DE1-4F0B-9EC0-520977565445}"/>
    <cellStyle name="Input 4 3" xfId="3066" xr:uid="{AE609E07-2CB7-49A5-9415-0CCB3B9C199F}"/>
    <cellStyle name="Input 5" xfId="930" xr:uid="{00000000-0005-0000-0000-0000A1030000}"/>
    <cellStyle name="Input 5 2" xfId="5141" xr:uid="{C9D675DF-48E2-46BC-929C-36628A461088}"/>
    <cellStyle name="Input 5 3" xfId="3067" xr:uid="{A86C0917-D822-438E-8909-C72CB2E1FADF}"/>
    <cellStyle name="Input 6" xfId="931" xr:uid="{00000000-0005-0000-0000-0000A2030000}"/>
    <cellStyle name="Input 6 2" xfId="5142" xr:uid="{92B7E74B-866A-4BE9-B3A9-3C3BBE518235}"/>
    <cellStyle name="Input 6 3" xfId="3068" xr:uid="{D938DEED-225D-4334-8D91-BE0AD5CDC42C}"/>
    <cellStyle name="item1" xfId="932" xr:uid="{00000000-0005-0000-0000-0000A3030000}"/>
    <cellStyle name="item1 2" xfId="933" xr:uid="{00000000-0005-0000-0000-0000A4030000}"/>
    <cellStyle name="item1 2 10" xfId="934" xr:uid="{00000000-0005-0000-0000-0000A5030000}"/>
    <cellStyle name="item1 2 10 2" xfId="5145" xr:uid="{5194752E-0717-4529-8D39-552B6E0401B7}"/>
    <cellStyle name="item1 2 10 3" xfId="3071" xr:uid="{0A3D6E2C-AD97-4D5C-858D-1BB7E068099A}"/>
    <cellStyle name="item1 2 11" xfId="935" xr:uid="{00000000-0005-0000-0000-0000A6030000}"/>
    <cellStyle name="item1 2 11 2" xfId="5146" xr:uid="{B55E6861-9294-4A1C-9026-078D2AEC4EB6}"/>
    <cellStyle name="item1 2 11 3" xfId="3072" xr:uid="{070D57C1-8AB2-40DC-BBDE-65EA3E3C7244}"/>
    <cellStyle name="item1 2 12" xfId="936" xr:uid="{00000000-0005-0000-0000-0000A7030000}"/>
    <cellStyle name="item1 2 12 2" xfId="5147" xr:uid="{5BC5A901-A190-4CD6-A6DB-6A2F2D9CB59B}"/>
    <cellStyle name="item1 2 12 3" xfId="3073" xr:uid="{0E4450A9-3ADE-4C83-94F5-7FFBB563E41E}"/>
    <cellStyle name="item1 2 13" xfId="937" xr:uid="{00000000-0005-0000-0000-0000A8030000}"/>
    <cellStyle name="item1 2 13 2" xfId="5148" xr:uid="{C15A4677-6E4C-49F0-B522-4B7BF4EA8C8B}"/>
    <cellStyle name="item1 2 13 3" xfId="3074" xr:uid="{55A3290D-A6B8-4077-8BB6-9045734908EC}"/>
    <cellStyle name="item1 2 14" xfId="938" xr:uid="{00000000-0005-0000-0000-0000A9030000}"/>
    <cellStyle name="item1 2 14 2" xfId="5149" xr:uid="{402240DC-D0A7-4B96-9681-2E290C2B0B9C}"/>
    <cellStyle name="item1 2 14 3" xfId="3075" xr:uid="{A6AD4C6F-6B65-48FA-9748-64191B16FDAA}"/>
    <cellStyle name="item1 2 15" xfId="939" xr:uid="{00000000-0005-0000-0000-0000AA030000}"/>
    <cellStyle name="item1 2 15 2" xfId="5150" xr:uid="{5BE6E362-762F-40D8-A1E4-65FE79AF7E34}"/>
    <cellStyle name="item1 2 15 3" xfId="3076" xr:uid="{0E5E221F-7694-42CE-B657-AC3A3FE06070}"/>
    <cellStyle name="item1 2 16" xfId="940" xr:uid="{00000000-0005-0000-0000-0000AB030000}"/>
    <cellStyle name="item1 2 16 2" xfId="5151" xr:uid="{F283EE55-53F6-4E8B-BF17-687909F97679}"/>
    <cellStyle name="item1 2 16 3" xfId="3077" xr:uid="{41B99E6D-9C9D-4B54-8A06-586F355A5162}"/>
    <cellStyle name="item1 2 17" xfId="941" xr:uid="{00000000-0005-0000-0000-0000AC030000}"/>
    <cellStyle name="item1 2 17 2" xfId="5152" xr:uid="{5164D7AA-C13C-4C25-84EF-DA48403F58D4}"/>
    <cellStyle name="item1 2 17 3" xfId="3078" xr:uid="{53D4A4A1-4561-4152-A760-52B5DCF56C73}"/>
    <cellStyle name="item1 2 18" xfId="942" xr:uid="{00000000-0005-0000-0000-0000AD030000}"/>
    <cellStyle name="item1 2 18 2" xfId="5153" xr:uid="{FD649385-57AD-4D5D-96AA-3D6DEF36567E}"/>
    <cellStyle name="item1 2 18 3" xfId="3079" xr:uid="{550EF96E-15DB-494A-A148-7F5A80D03711}"/>
    <cellStyle name="item1 2 19" xfId="943" xr:uid="{00000000-0005-0000-0000-0000AE030000}"/>
    <cellStyle name="item1 2 19 2" xfId="5154" xr:uid="{FD0A6F00-68D4-46EC-8941-3AF0571D3CF0}"/>
    <cellStyle name="item1 2 19 3" xfId="3080" xr:uid="{B10D17B0-1398-4D53-943D-B03DAE47B3BD}"/>
    <cellStyle name="item1 2 2" xfId="944" xr:uid="{00000000-0005-0000-0000-0000AF030000}"/>
    <cellStyle name="item1 2 2 2" xfId="5155" xr:uid="{D1E9A5B6-CCFB-489A-9255-0C91F95FE064}"/>
    <cellStyle name="item1 2 2 3" xfId="3081" xr:uid="{404763F4-8EE3-4B0F-B6CB-0F0F57C3D0E3}"/>
    <cellStyle name="item1 2 20" xfId="945" xr:uid="{00000000-0005-0000-0000-0000B0030000}"/>
    <cellStyle name="item1 2 20 2" xfId="5156" xr:uid="{EDA8CD4E-1200-4D3F-A60C-CCC482504981}"/>
    <cellStyle name="item1 2 20 3" xfId="3082" xr:uid="{3535D919-2D18-4388-B146-135A961C6184}"/>
    <cellStyle name="item1 2 21" xfId="946" xr:uid="{00000000-0005-0000-0000-0000B1030000}"/>
    <cellStyle name="item1 2 21 2" xfId="5157" xr:uid="{D332672A-2BFE-4485-9850-289D83EF815F}"/>
    <cellStyle name="item1 2 21 3" xfId="3083" xr:uid="{3EB2C2C3-8D15-4165-9192-2DE67FE2E5E4}"/>
    <cellStyle name="item1 2 22" xfId="947" xr:uid="{00000000-0005-0000-0000-0000B2030000}"/>
    <cellStyle name="item1 2 22 2" xfId="5158" xr:uid="{98D321B7-7F0F-4916-B924-59F026B02938}"/>
    <cellStyle name="item1 2 22 3" xfId="3084" xr:uid="{311D7328-9DBB-4E43-A0FE-67DCF2198BBD}"/>
    <cellStyle name="item1 2 23" xfId="948" xr:uid="{00000000-0005-0000-0000-0000B3030000}"/>
    <cellStyle name="item1 2 23 2" xfId="5159" xr:uid="{6E538FAF-A2A0-4C27-80D4-19F3F66DCCE1}"/>
    <cellStyle name="item1 2 23 3" xfId="3085" xr:uid="{407EF6C7-F6D3-4F8D-8940-EA223A37600B}"/>
    <cellStyle name="item1 2 24" xfId="949" xr:uid="{00000000-0005-0000-0000-0000B4030000}"/>
    <cellStyle name="item1 2 24 2" xfId="5160" xr:uid="{29479C02-BF0D-4E36-ABE2-CAA0B1631409}"/>
    <cellStyle name="item1 2 24 3" xfId="3086" xr:uid="{FA510216-C5F3-4797-868B-FE89A8D96FB5}"/>
    <cellStyle name="item1 2 25" xfId="950" xr:uid="{00000000-0005-0000-0000-0000B5030000}"/>
    <cellStyle name="item1 2 25 2" xfId="5161" xr:uid="{7C4E4B95-475F-4BA3-B908-EFBD49810F0C}"/>
    <cellStyle name="item1 2 25 3" xfId="3087" xr:uid="{777D9526-54E4-416A-81AB-6DA23467F83F}"/>
    <cellStyle name="item1 2 26" xfId="951" xr:uid="{00000000-0005-0000-0000-0000B6030000}"/>
    <cellStyle name="item1 2 26 2" xfId="5162" xr:uid="{A271EA6F-2657-4762-817B-99FE6AE93CB4}"/>
    <cellStyle name="item1 2 26 3" xfId="3088" xr:uid="{54037FDE-346F-4FB6-A7FD-4D12BB9FD2CC}"/>
    <cellStyle name="item1 2 27" xfId="952" xr:uid="{00000000-0005-0000-0000-0000B7030000}"/>
    <cellStyle name="item1 2 27 2" xfId="5163" xr:uid="{B5505C18-B151-4436-ADE4-6B716C47DFFA}"/>
    <cellStyle name="item1 2 27 3" xfId="3089" xr:uid="{09DC89C6-99E8-4676-A8C2-19ED016E42AC}"/>
    <cellStyle name="item1 2 28" xfId="953" xr:uid="{00000000-0005-0000-0000-0000B8030000}"/>
    <cellStyle name="item1 2 28 2" xfId="5164" xr:uid="{3D4C2E09-9710-4358-8016-A5CA0BB5BF42}"/>
    <cellStyle name="item1 2 28 3" xfId="3090" xr:uid="{19D087B6-8515-4D15-8636-6EC1D5BC3E29}"/>
    <cellStyle name="item1 2 29" xfId="954" xr:uid="{00000000-0005-0000-0000-0000B9030000}"/>
    <cellStyle name="item1 2 29 2" xfId="5165" xr:uid="{A96D1608-224B-4FA3-A62B-04545913735B}"/>
    <cellStyle name="item1 2 29 3" xfId="3091" xr:uid="{2ECD1369-ACFE-4710-8200-6F88409FEAB0}"/>
    <cellStyle name="item1 2 3" xfId="955" xr:uid="{00000000-0005-0000-0000-0000BA030000}"/>
    <cellStyle name="item1 2 3 2" xfId="5166" xr:uid="{D278C059-CED5-44A8-96F6-8D786700E87A}"/>
    <cellStyle name="item1 2 3 3" xfId="3092" xr:uid="{5F423B67-F318-4AF7-B403-502A22878389}"/>
    <cellStyle name="item1 2 30" xfId="5144" xr:uid="{A9317348-04AA-427A-8065-B0EE16920258}"/>
    <cellStyle name="item1 2 31" xfId="3070" xr:uid="{C926F2E0-1C3A-4C26-A8E3-AE0BD80975C8}"/>
    <cellStyle name="item1 2 4" xfId="956" xr:uid="{00000000-0005-0000-0000-0000BB030000}"/>
    <cellStyle name="item1 2 4 2" xfId="5167" xr:uid="{D3C0BEF5-0E79-4C47-8BB2-EC381407A9E1}"/>
    <cellStyle name="item1 2 4 3" xfId="3093" xr:uid="{E03E800D-0323-4F9A-B20A-75E217677A8E}"/>
    <cellStyle name="item1 2 5" xfId="957" xr:uid="{00000000-0005-0000-0000-0000BC030000}"/>
    <cellStyle name="item1 2 5 2" xfId="5168" xr:uid="{4ECD7D78-2604-4A65-91E1-10A16C575886}"/>
    <cellStyle name="item1 2 5 3" xfId="3094" xr:uid="{C90C59BD-84D5-4EE3-B462-86F08495BB8D}"/>
    <cellStyle name="item1 2 6" xfId="958" xr:uid="{00000000-0005-0000-0000-0000BD030000}"/>
    <cellStyle name="item1 2 6 2" xfId="5169" xr:uid="{E1781947-D109-4D8A-A730-6C8298711B36}"/>
    <cellStyle name="item1 2 6 3" xfId="3095" xr:uid="{303AFBC7-D5E8-41AD-B051-DAA9ED2C9E41}"/>
    <cellStyle name="item1 2 7" xfId="959" xr:uid="{00000000-0005-0000-0000-0000BE030000}"/>
    <cellStyle name="item1 2 7 2" xfId="5170" xr:uid="{9243CED9-77F3-413B-9AC6-65A9E85F7B91}"/>
    <cellStyle name="item1 2 7 3" xfId="3096" xr:uid="{6D6DAAC0-65AD-4C39-A8EC-CECAB004AAA4}"/>
    <cellStyle name="item1 2 8" xfId="960" xr:uid="{00000000-0005-0000-0000-0000BF030000}"/>
    <cellStyle name="item1 2 8 2" xfId="5171" xr:uid="{9326A01E-DAD8-4A8B-9418-A0ED09E1CAA8}"/>
    <cellStyle name="item1 2 8 3" xfId="3097" xr:uid="{3C38C142-E92A-464C-BAB3-F3D02C29FC2D}"/>
    <cellStyle name="item1 2 9" xfId="961" xr:uid="{00000000-0005-0000-0000-0000C0030000}"/>
    <cellStyle name="item1 2 9 2" xfId="5172" xr:uid="{E3CB8DAE-2B50-4968-BF14-333D51712CC8}"/>
    <cellStyle name="item1 2 9 3" xfId="3098" xr:uid="{E7FCFA22-FE5F-4C13-841E-37FD627CA0F2}"/>
    <cellStyle name="item1 3" xfId="962" xr:uid="{00000000-0005-0000-0000-0000C1030000}"/>
    <cellStyle name="item1 3 10" xfId="963" xr:uid="{00000000-0005-0000-0000-0000C2030000}"/>
    <cellStyle name="item1 3 10 2" xfId="5174" xr:uid="{975BAD15-CBB9-4A37-BECC-DB998D6CBFB3}"/>
    <cellStyle name="item1 3 10 3" xfId="3100" xr:uid="{467C6AEC-CDC1-4AB2-B5FD-73D35B26125E}"/>
    <cellStyle name="item1 3 11" xfId="964" xr:uid="{00000000-0005-0000-0000-0000C3030000}"/>
    <cellStyle name="item1 3 11 2" xfId="5175" xr:uid="{99FE066B-513F-49F1-8DF5-221916333AE4}"/>
    <cellStyle name="item1 3 11 3" xfId="3101" xr:uid="{FB15A5FB-5615-49AD-B9FB-347BFFDD6995}"/>
    <cellStyle name="item1 3 12" xfId="965" xr:uid="{00000000-0005-0000-0000-0000C4030000}"/>
    <cellStyle name="item1 3 12 2" xfId="5176" xr:uid="{51FC7F36-FAC1-4553-B4F1-7700475A3C7A}"/>
    <cellStyle name="item1 3 12 3" xfId="3102" xr:uid="{080545B3-64D7-4EED-86B1-70B70D3EDBFE}"/>
    <cellStyle name="item1 3 13" xfId="966" xr:uid="{00000000-0005-0000-0000-0000C5030000}"/>
    <cellStyle name="item1 3 13 2" xfId="5177" xr:uid="{B467FF8B-F2E0-4823-86EF-749185B9AF68}"/>
    <cellStyle name="item1 3 13 3" xfId="3103" xr:uid="{AFE16D33-EBEF-4A93-8410-9C833C4F58B5}"/>
    <cellStyle name="item1 3 14" xfId="967" xr:uid="{00000000-0005-0000-0000-0000C6030000}"/>
    <cellStyle name="item1 3 14 2" xfId="5178" xr:uid="{8C8594ED-3228-4579-93B8-4385E8EA9C0C}"/>
    <cellStyle name="item1 3 14 3" xfId="3104" xr:uid="{398B8F6D-E900-4918-AD04-346D610DE90D}"/>
    <cellStyle name="item1 3 15" xfId="968" xr:uid="{00000000-0005-0000-0000-0000C7030000}"/>
    <cellStyle name="item1 3 15 2" xfId="5179" xr:uid="{86A43195-D9AB-4575-A5BA-BC1A275E2026}"/>
    <cellStyle name="item1 3 15 3" xfId="3105" xr:uid="{C050A9E7-54C2-47D8-B426-F9BA43EA3222}"/>
    <cellStyle name="item1 3 16" xfId="969" xr:uid="{00000000-0005-0000-0000-0000C8030000}"/>
    <cellStyle name="item1 3 16 2" xfId="5180" xr:uid="{AD147A89-F12E-4B17-8B2F-F7FD1FC57700}"/>
    <cellStyle name="item1 3 16 3" xfId="3106" xr:uid="{1D323050-2962-4421-B4D0-8B1FDF5C1B65}"/>
    <cellStyle name="item1 3 17" xfId="970" xr:uid="{00000000-0005-0000-0000-0000C9030000}"/>
    <cellStyle name="item1 3 17 2" xfId="5181" xr:uid="{3A18608D-1D3D-4AC8-9991-3EEAB3828369}"/>
    <cellStyle name="item1 3 17 3" xfId="3107" xr:uid="{39FDF4FE-E3EF-41D7-8FB5-47636EF763E0}"/>
    <cellStyle name="item1 3 18" xfId="971" xr:uid="{00000000-0005-0000-0000-0000CA030000}"/>
    <cellStyle name="item1 3 18 2" xfId="5182" xr:uid="{CE93E405-1F47-41DC-BB42-C1D229EB7C6B}"/>
    <cellStyle name="item1 3 18 3" xfId="3108" xr:uid="{0A3D46AC-62F3-4BD6-8A46-44C6E6BB58BC}"/>
    <cellStyle name="item1 3 19" xfId="972" xr:uid="{00000000-0005-0000-0000-0000CB030000}"/>
    <cellStyle name="item1 3 19 2" xfId="5183" xr:uid="{2A6ED26F-E08E-4DD4-A0BA-4C8DA22EE23B}"/>
    <cellStyle name="item1 3 19 3" xfId="3109" xr:uid="{317095F6-1D77-4DC3-803B-8FFCD3078437}"/>
    <cellStyle name="item1 3 2" xfId="973" xr:uid="{00000000-0005-0000-0000-0000CC030000}"/>
    <cellStyle name="item1 3 2 2" xfId="5184" xr:uid="{F0321582-AF6B-45FC-A64B-9560D50211EE}"/>
    <cellStyle name="item1 3 2 3" xfId="3110" xr:uid="{2A8B153C-07CC-44AC-98D9-C7CA697E1D0D}"/>
    <cellStyle name="item1 3 20" xfId="974" xr:uid="{00000000-0005-0000-0000-0000CD030000}"/>
    <cellStyle name="item1 3 20 2" xfId="5185" xr:uid="{34C88F48-F47A-4F83-8FAC-2D8DBF37D5FF}"/>
    <cellStyle name="item1 3 20 3" xfId="3111" xr:uid="{F5D0AC19-71D1-417F-B4A3-B9D71E936DE6}"/>
    <cellStyle name="item1 3 21" xfId="975" xr:uid="{00000000-0005-0000-0000-0000CE030000}"/>
    <cellStyle name="item1 3 21 2" xfId="5186" xr:uid="{60AFA8A3-6883-497E-BE79-3EADF3A9AC08}"/>
    <cellStyle name="item1 3 21 3" xfId="3112" xr:uid="{57896150-E39F-4F13-AC89-FAE5153DA15D}"/>
    <cellStyle name="item1 3 22" xfId="976" xr:uid="{00000000-0005-0000-0000-0000CF030000}"/>
    <cellStyle name="item1 3 22 2" xfId="5187" xr:uid="{2EDD6B61-A8AA-4499-9DCB-D5C4E8667039}"/>
    <cellStyle name="item1 3 22 3" xfId="3113" xr:uid="{C6653991-5140-40DA-BEFC-BF75B6CAE42B}"/>
    <cellStyle name="item1 3 23" xfId="977" xr:uid="{00000000-0005-0000-0000-0000D0030000}"/>
    <cellStyle name="item1 3 23 2" xfId="5188" xr:uid="{88EB6422-80D5-4D7D-89FC-E3C41322810C}"/>
    <cellStyle name="item1 3 23 3" xfId="3114" xr:uid="{2A2637C3-D4A1-4064-BC5C-6B502355694A}"/>
    <cellStyle name="item1 3 24" xfId="978" xr:uid="{00000000-0005-0000-0000-0000D1030000}"/>
    <cellStyle name="item1 3 24 2" xfId="5189" xr:uid="{684D7502-7561-4364-986A-2724D00CBA41}"/>
    <cellStyle name="item1 3 24 3" xfId="3115" xr:uid="{E38A6C8D-FFA1-4545-AB31-7AA221B10944}"/>
    <cellStyle name="item1 3 25" xfId="979" xr:uid="{00000000-0005-0000-0000-0000D2030000}"/>
    <cellStyle name="item1 3 25 2" xfId="5190" xr:uid="{9C968F49-974A-4CE7-A18E-B179527EE1FC}"/>
    <cellStyle name="item1 3 25 3" xfId="3116" xr:uid="{757B048B-F7FB-4DC8-AE0C-D10CC554D846}"/>
    <cellStyle name="item1 3 26" xfId="980" xr:uid="{00000000-0005-0000-0000-0000D3030000}"/>
    <cellStyle name="item1 3 26 2" xfId="5191" xr:uid="{C986060D-FB19-4D83-8D15-38880860DCDF}"/>
    <cellStyle name="item1 3 26 3" xfId="3117" xr:uid="{D74312CA-9F87-47A0-B3F1-DF4DD65476C9}"/>
    <cellStyle name="item1 3 27" xfId="981" xr:uid="{00000000-0005-0000-0000-0000D4030000}"/>
    <cellStyle name="item1 3 27 2" xfId="5192" xr:uid="{D9A17361-BEC9-43E3-AC6B-E2F3E442B9FA}"/>
    <cellStyle name="item1 3 27 3" xfId="3118" xr:uid="{8AFA912A-7C7A-4751-945D-0299C0DAA333}"/>
    <cellStyle name="item1 3 28" xfId="982" xr:uid="{00000000-0005-0000-0000-0000D5030000}"/>
    <cellStyle name="item1 3 28 2" xfId="5193" xr:uid="{EEE3B917-D55F-40B4-B452-AB1F67A3EA3E}"/>
    <cellStyle name="item1 3 28 3" xfId="3119" xr:uid="{44E3D383-BE41-49D7-95F4-53B5919DE6BC}"/>
    <cellStyle name="item1 3 29" xfId="983" xr:uid="{00000000-0005-0000-0000-0000D6030000}"/>
    <cellStyle name="item1 3 29 2" xfId="5194" xr:uid="{4EC47763-3F1F-46A0-8A0B-042C7CFE20EF}"/>
    <cellStyle name="item1 3 29 3" xfId="3120" xr:uid="{9855B830-A5AA-47E2-9BE2-804467FA6489}"/>
    <cellStyle name="item1 3 3" xfId="984" xr:uid="{00000000-0005-0000-0000-0000D7030000}"/>
    <cellStyle name="item1 3 3 2" xfId="5195" xr:uid="{7CE42F24-6C4D-4850-9A74-1D400CE83BB0}"/>
    <cellStyle name="item1 3 3 3" xfId="3121" xr:uid="{7B46278F-38B0-4429-B920-891F95A3CCFD}"/>
    <cellStyle name="item1 3 30" xfId="5173" xr:uid="{BD16DA77-D71C-42C9-9281-C2B4B504A0CB}"/>
    <cellStyle name="item1 3 31" xfId="3099" xr:uid="{68C51EE0-8E99-415B-8417-8AF63A2EFAF5}"/>
    <cellStyle name="item1 3 4" xfId="985" xr:uid="{00000000-0005-0000-0000-0000D8030000}"/>
    <cellStyle name="item1 3 4 2" xfId="5196" xr:uid="{0FCA8B6A-38A4-4CE4-AC39-B509731393E9}"/>
    <cellStyle name="item1 3 4 3" xfId="3122" xr:uid="{7C19A0F2-17A3-4F0C-B22C-185F294FDC90}"/>
    <cellStyle name="item1 3 5" xfId="986" xr:uid="{00000000-0005-0000-0000-0000D9030000}"/>
    <cellStyle name="item1 3 5 2" xfId="5197" xr:uid="{961D2FA8-1BAB-45C9-9795-6C679C3DB716}"/>
    <cellStyle name="item1 3 5 3" xfId="3123" xr:uid="{B0C141A6-7863-4731-A193-2B1EC379A062}"/>
    <cellStyle name="item1 3 6" xfId="987" xr:uid="{00000000-0005-0000-0000-0000DA030000}"/>
    <cellStyle name="item1 3 6 2" xfId="5198" xr:uid="{10A23DFC-8026-47ED-A8FD-470E2DB97144}"/>
    <cellStyle name="item1 3 6 3" xfId="3124" xr:uid="{5B66BEC5-4A03-4F2B-B80E-64BB0A55EC62}"/>
    <cellStyle name="item1 3 7" xfId="988" xr:uid="{00000000-0005-0000-0000-0000DB030000}"/>
    <cellStyle name="item1 3 7 2" xfId="5199" xr:uid="{C2FB5ED5-D9CC-4D59-BE17-972916CD12B1}"/>
    <cellStyle name="item1 3 7 3" xfId="3125" xr:uid="{DFA963FD-21A1-44DA-AF70-257C5E1700E7}"/>
    <cellStyle name="item1 3 8" xfId="989" xr:uid="{00000000-0005-0000-0000-0000DC030000}"/>
    <cellStyle name="item1 3 8 2" xfId="5200" xr:uid="{AD88F9D7-4A21-4BAA-8B73-0E6D8FCFEDF3}"/>
    <cellStyle name="item1 3 8 3" xfId="3126" xr:uid="{651FD52A-ED94-449C-84E3-5C81492E9EFD}"/>
    <cellStyle name="item1 3 9" xfId="990" xr:uid="{00000000-0005-0000-0000-0000DD030000}"/>
    <cellStyle name="item1 3 9 2" xfId="5201" xr:uid="{70F06DC4-0D6B-4643-8A17-02D53B583336}"/>
    <cellStyle name="item1 3 9 3" xfId="3127" xr:uid="{CFD38834-F83C-4197-A5B2-06259D24E2BF}"/>
    <cellStyle name="item1 4" xfId="991" xr:uid="{00000000-0005-0000-0000-0000DE030000}"/>
    <cellStyle name="item1 4 10" xfId="992" xr:uid="{00000000-0005-0000-0000-0000DF030000}"/>
    <cellStyle name="item1 4 10 2" xfId="5203" xr:uid="{A92232BA-7BE7-4243-971E-D808786DE23A}"/>
    <cellStyle name="item1 4 10 3" xfId="3129" xr:uid="{E69BBEFA-C4A5-47CA-8869-E617CF77620F}"/>
    <cellStyle name="item1 4 11" xfId="993" xr:uid="{00000000-0005-0000-0000-0000E0030000}"/>
    <cellStyle name="item1 4 11 2" xfId="5204" xr:uid="{55DB31D7-3F7B-4A75-9EAB-57C37E29F97B}"/>
    <cellStyle name="item1 4 11 3" xfId="3130" xr:uid="{C884290C-4E12-4DDE-A6DA-BE3FD400A705}"/>
    <cellStyle name="item1 4 12" xfId="994" xr:uid="{00000000-0005-0000-0000-0000E1030000}"/>
    <cellStyle name="item1 4 12 2" xfId="5205" xr:uid="{7AA3D60A-19CF-498E-9D3F-99705E9B22EA}"/>
    <cellStyle name="item1 4 12 3" xfId="3131" xr:uid="{D638663C-41BF-485D-A598-4269D6ECE887}"/>
    <cellStyle name="item1 4 13" xfId="995" xr:uid="{00000000-0005-0000-0000-0000E2030000}"/>
    <cellStyle name="item1 4 13 2" xfId="5206" xr:uid="{E947E033-75F1-46FC-9830-C5D7E2359548}"/>
    <cellStyle name="item1 4 13 3" xfId="3132" xr:uid="{9073FFD1-342A-4435-BCE2-25EB69EB1C73}"/>
    <cellStyle name="item1 4 14" xfId="996" xr:uid="{00000000-0005-0000-0000-0000E3030000}"/>
    <cellStyle name="item1 4 14 2" xfId="5207" xr:uid="{B3D24730-9BA0-4672-93BD-498092E93625}"/>
    <cellStyle name="item1 4 14 3" xfId="3133" xr:uid="{6B55C03B-9EA7-40B8-84D8-694587F518A1}"/>
    <cellStyle name="item1 4 15" xfId="997" xr:uid="{00000000-0005-0000-0000-0000E4030000}"/>
    <cellStyle name="item1 4 15 2" xfId="5208" xr:uid="{8AF52C6B-48AC-4D10-89A3-33A8AF416FE8}"/>
    <cellStyle name="item1 4 15 3" xfId="3134" xr:uid="{CF83420C-393B-4BD5-828A-A9BF7DB746DF}"/>
    <cellStyle name="item1 4 16" xfId="998" xr:uid="{00000000-0005-0000-0000-0000E5030000}"/>
    <cellStyle name="item1 4 16 2" xfId="5209" xr:uid="{E6B120C2-9CA0-49C3-A95E-FE0A05A3D648}"/>
    <cellStyle name="item1 4 16 3" xfId="3135" xr:uid="{0E1A3698-96A1-46EC-B99C-92B842C42A02}"/>
    <cellStyle name="item1 4 17" xfId="999" xr:uid="{00000000-0005-0000-0000-0000E6030000}"/>
    <cellStyle name="item1 4 17 2" xfId="5210" xr:uid="{7A545579-8AE0-42EF-910E-3ACA32403C16}"/>
    <cellStyle name="item1 4 17 3" xfId="3136" xr:uid="{2B2623C4-1EE4-443D-9BAA-DFF9A2A1F1BB}"/>
    <cellStyle name="item1 4 18" xfId="1000" xr:uid="{00000000-0005-0000-0000-0000E7030000}"/>
    <cellStyle name="item1 4 18 2" xfId="5211" xr:uid="{6236D928-DBE9-46FA-8929-AE920002EE2B}"/>
    <cellStyle name="item1 4 18 3" xfId="3137" xr:uid="{5B3C5B90-E07A-440D-8938-8C31B7971C19}"/>
    <cellStyle name="item1 4 19" xfId="1001" xr:uid="{00000000-0005-0000-0000-0000E8030000}"/>
    <cellStyle name="item1 4 19 2" xfId="5212" xr:uid="{F35E35A6-86FD-404F-B64C-9B4B601423B0}"/>
    <cellStyle name="item1 4 19 3" xfId="3138" xr:uid="{74FE9C6E-36F9-4680-9AF8-4A16632ADE7D}"/>
    <cellStyle name="item1 4 2" xfId="1002" xr:uid="{00000000-0005-0000-0000-0000E9030000}"/>
    <cellStyle name="item1 4 2 2" xfId="5213" xr:uid="{6693BBDA-1EA5-4558-B651-39813F766870}"/>
    <cellStyle name="item1 4 2 3" xfId="3139" xr:uid="{964B6974-2421-42C1-A59C-1EB3F503C9C0}"/>
    <cellStyle name="item1 4 20" xfId="1003" xr:uid="{00000000-0005-0000-0000-0000EA030000}"/>
    <cellStyle name="item1 4 20 2" xfId="5214" xr:uid="{A4CF98BF-C9D5-46E0-AE2A-E8A52935986E}"/>
    <cellStyle name="item1 4 20 3" xfId="3140" xr:uid="{B68F9A52-3CF5-44CB-A3BB-EF0948230208}"/>
    <cellStyle name="item1 4 21" xfId="1004" xr:uid="{00000000-0005-0000-0000-0000EB030000}"/>
    <cellStyle name="item1 4 21 2" xfId="5215" xr:uid="{280D169B-E7E6-4E39-B211-6DE5442EC560}"/>
    <cellStyle name="item1 4 21 3" xfId="3141" xr:uid="{89F685BB-521E-4C36-8C56-EE428E1EAE2D}"/>
    <cellStyle name="item1 4 22" xfId="1005" xr:uid="{00000000-0005-0000-0000-0000EC030000}"/>
    <cellStyle name="item1 4 22 2" xfId="5216" xr:uid="{FDC5A8A3-5C3A-4E21-8C74-29EC2D3380EF}"/>
    <cellStyle name="item1 4 22 3" xfId="3142" xr:uid="{455997B2-63AB-4116-BBD0-7ECE59C08D77}"/>
    <cellStyle name="item1 4 23" xfId="1006" xr:uid="{00000000-0005-0000-0000-0000ED030000}"/>
    <cellStyle name="item1 4 23 2" xfId="5217" xr:uid="{B403E019-6EF2-480C-B767-1575A8DDF679}"/>
    <cellStyle name="item1 4 23 3" xfId="3143" xr:uid="{D3462CA9-B4FF-4321-BA78-DD60D284AFF5}"/>
    <cellStyle name="item1 4 24" xfId="1007" xr:uid="{00000000-0005-0000-0000-0000EE030000}"/>
    <cellStyle name="item1 4 24 2" xfId="5218" xr:uid="{92D347BB-A940-461F-BC63-19D292966265}"/>
    <cellStyle name="item1 4 24 3" xfId="3144" xr:uid="{3746F434-6C2A-4137-98A1-FF2BC8C278EA}"/>
    <cellStyle name="item1 4 25" xfId="1008" xr:uid="{00000000-0005-0000-0000-0000EF030000}"/>
    <cellStyle name="item1 4 25 2" xfId="5219" xr:uid="{F5649EB4-194C-4E8F-8645-172DBC452ABB}"/>
    <cellStyle name="item1 4 25 3" xfId="3145" xr:uid="{35EC815E-E7C0-4F35-B093-978633D5C2B6}"/>
    <cellStyle name="item1 4 26" xfId="1009" xr:uid="{00000000-0005-0000-0000-0000F0030000}"/>
    <cellStyle name="item1 4 26 2" xfId="5220" xr:uid="{1353459F-B678-4DCD-8074-54B5A8EFA620}"/>
    <cellStyle name="item1 4 26 3" xfId="3146" xr:uid="{10349822-3EF5-4742-BD64-87AEF46E58C9}"/>
    <cellStyle name="item1 4 27" xfId="1010" xr:uid="{00000000-0005-0000-0000-0000F1030000}"/>
    <cellStyle name="item1 4 27 2" xfId="5221" xr:uid="{6B4F7C9E-4B2B-457A-90C3-0777D38EAA71}"/>
    <cellStyle name="item1 4 27 3" xfId="3147" xr:uid="{E15434D3-BFA8-40F7-A7B9-4F39BE50BA69}"/>
    <cellStyle name="item1 4 28" xfId="1011" xr:uid="{00000000-0005-0000-0000-0000F2030000}"/>
    <cellStyle name="item1 4 28 2" xfId="5222" xr:uid="{A6A5ED1A-C3C1-44BB-A211-465D5B93DD80}"/>
    <cellStyle name="item1 4 28 3" xfId="3148" xr:uid="{EE1F3E66-E3F9-4FB4-B807-1F9406146B50}"/>
    <cellStyle name="item1 4 29" xfId="1012" xr:uid="{00000000-0005-0000-0000-0000F3030000}"/>
    <cellStyle name="item1 4 29 2" xfId="5223" xr:uid="{03557F91-D558-4B1F-A9AE-17F1DEC5FF05}"/>
    <cellStyle name="item1 4 29 3" xfId="3149" xr:uid="{AF4F8DF4-1966-4AF0-9ECC-815F37A5128A}"/>
    <cellStyle name="item1 4 3" xfId="1013" xr:uid="{00000000-0005-0000-0000-0000F4030000}"/>
    <cellStyle name="item1 4 3 2" xfId="5224" xr:uid="{984D203B-77E3-4F99-BE4E-ADE24CF7820E}"/>
    <cellStyle name="item1 4 3 3" xfId="3150" xr:uid="{FEFF313C-5E75-4941-B5AD-18BCAA13D212}"/>
    <cellStyle name="item1 4 30" xfId="5202" xr:uid="{D8C8CCB0-6503-40D9-9F50-699684135965}"/>
    <cellStyle name="item1 4 31" xfId="3128" xr:uid="{DB62BB26-7170-46B6-A506-C0E14E97DBC9}"/>
    <cellStyle name="item1 4 4" xfId="1014" xr:uid="{00000000-0005-0000-0000-0000F5030000}"/>
    <cellStyle name="item1 4 4 2" xfId="5225" xr:uid="{FDFDBF82-21ED-4684-B9BE-9426BF84324B}"/>
    <cellStyle name="item1 4 4 3" xfId="3151" xr:uid="{C89EEE98-4AFC-4241-8244-2BADE92107CE}"/>
    <cellStyle name="item1 4 5" xfId="1015" xr:uid="{00000000-0005-0000-0000-0000F6030000}"/>
    <cellStyle name="item1 4 5 2" xfId="5226" xr:uid="{B5FA655D-FD7E-4F3C-8DCA-044E7AB658A6}"/>
    <cellStyle name="item1 4 5 3" xfId="3152" xr:uid="{AD182930-D5EE-4F4F-84FE-9D813A69BBD5}"/>
    <cellStyle name="item1 4 6" xfId="1016" xr:uid="{00000000-0005-0000-0000-0000F7030000}"/>
    <cellStyle name="item1 4 6 2" xfId="5227" xr:uid="{7D3067A0-B6F1-4847-9CBC-CF0C39F7FB84}"/>
    <cellStyle name="item1 4 6 3" xfId="3153" xr:uid="{B9BB9968-6EB5-4DBF-82CA-9F41C094C8FD}"/>
    <cellStyle name="item1 4 7" xfId="1017" xr:uid="{00000000-0005-0000-0000-0000F8030000}"/>
    <cellStyle name="item1 4 7 2" xfId="5228" xr:uid="{CFD1DDD2-AC0C-4A48-9366-8B05F1AC66B9}"/>
    <cellStyle name="item1 4 7 3" xfId="3154" xr:uid="{8B5A7B69-3C97-4017-989B-1660174C1724}"/>
    <cellStyle name="item1 4 8" xfId="1018" xr:uid="{00000000-0005-0000-0000-0000F9030000}"/>
    <cellStyle name="item1 4 8 2" xfId="5229" xr:uid="{67614680-2B7F-4AC2-9357-4EC0BB3FAD3C}"/>
    <cellStyle name="item1 4 8 3" xfId="3155" xr:uid="{773C86EC-BBBB-4BE2-AB7C-DC0234C745CF}"/>
    <cellStyle name="item1 4 9" xfId="1019" xr:uid="{00000000-0005-0000-0000-0000FA030000}"/>
    <cellStyle name="item1 4 9 2" xfId="5230" xr:uid="{4919D2A1-2EC8-43FD-B014-F72075C5CA7B}"/>
    <cellStyle name="item1 4 9 3" xfId="3156" xr:uid="{289D7344-FC9A-42BA-9BC8-D54259E326B8}"/>
    <cellStyle name="item1 5" xfId="1020" xr:uid="{00000000-0005-0000-0000-0000FB030000}"/>
    <cellStyle name="item1 5 10" xfId="1021" xr:uid="{00000000-0005-0000-0000-0000FC030000}"/>
    <cellStyle name="item1 5 10 2" xfId="5232" xr:uid="{36C6ED1D-B328-4803-A4B4-D28685F5AEF4}"/>
    <cellStyle name="item1 5 10 3" xfId="3158" xr:uid="{AD0C1660-2B96-4329-BEC3-02B4768AF214}"/>
    <cellStyle name="item1 5 11" xfId="1022" xr:uid="{00000000-0005-0000-0000-0000FD030000}"/>
    <cellStyle name="item1 5 11 2" xfId="5233" xr:uid="{C9B08DBA-557E-4F1E-8A86-0030F5B79C1F}"/>
    <cellStyle name="item1 5 11 3" xfId="3159" xr:uid="{C85AF0FE-9370-42E7-8C0A-E053C24B8147}"/>
    <cellStyle name="item1 5 12" xfId="1023" xr:uid="{00000000-0005-0000-0000-0000FE030000}"/>
    <cellStyle name="item1 5 12 2" xfId="5234" xr:uid="{DBBB3235-F79D-4CC4-AE33-5F3654DF3D1C}"/>
    <cellStyle name="item1 5 12 3" xfId="3160" xr:uid="{8654A344-39D6-4DCA-94B9-57F6527437BC}"/>
    <cellStyle name="item1 5 13" xfId="1024" xr:uid="{00000000-0005-0000-0000-0000FF030000}"/>
    <cellStyle name="item1 5 13 2" xfId="5235" xr:uid="{A94EACF7-BBDF-4B87-8530-340D870C240D}"/>
    <cellStyle name="item1 5 13 3" xfId="3161" xr:uid="{261B857B-7562-40D7-859E-AC259CF46CE7}"/>
    <cellStyle name="item1 5 14" xfId="1025" xr:uid="{00000000-0005-0000-0000-000000040000}"/>
    <cellStyle name="item1 5 14 2" xfId="5236" xr:uid="{A0442A0B-EE42-4666-BE76-BA32F44D56B0}"/>
    <cellStyle name="item1 5 14 3" xfId="3162" xr:uid="{63A5BFA8-AA32-439B-8742-8470448AC26A}"/>
    <cellStyle name="item1 5 15" xfId="1026" xr:uid="{00000000-0005-0000-0000-000001040000}"/>
    <cellStyle name="item1 5 15 2" xfId="5237" xr:uid="{2D5E77A3-F57F-4A16-AE5B-96312610DAF2}"/>
    <cellStyle name="item1 5 15 3" xfId="3163" xr:uid="{AAC68CFA-5763-486E-9222-CC186BC5CA92}"/>
    <cellStyle name="item1 5 16" xfId="1027" xr:uid="{00000000-0005-0000-0000-000002040000}"/>
    <cellStyle name="item1 5 16 2" xfId="5238" xr:uid="{980C98A3-4184-4B79-B2F5-0BA52DF76678}"/>
    <cellStyle name="item1 5 16 3" xfId="3164" xr:uid="{236D44E1-ACD6-4960-BD69-8B96AC3F472D}"/>
    <cellStyle name="item1 5 17" xfId="1028" xr:uid="{00000000-0005-0000-0000-000003040000}"/>
    <cellStyle name="item1 5 17 2" xfId="5239" xr:uid="{9AB544AA-7DF7-4083-9F91-711F6FE6C88D}"/>
    <cellStyle name="item1 5 17 3" xfId="3165" xr:uid="{ADCDFC9E-5F26-460D-885D-2A070D6755B0}"/>
    <cellStyle name="item1 5 18" xfId="1029" xr:uid="{00000000-0005-0000-0000-000004040000}"/>
    <cellStyle name="item1 5 18 2" xfId="5240" xr:uid="{6C8BBCD0-FCE5-411D-B478-72E819899C36}"/>
    <cellStyle name="item1 5 18 3" xfId="3166" xr:uid="{F03EDF1D-A560-4AE3-9203-D7D36C7A988F}"/>
    <cellStyle name="item1 5 19" xfId="1030" xr:uid="{00000000-0005-0000-0000-000005040000}"/>
    <cellStyle name="item1 5 19 2" xfId="5241" xr:uid="{8D12B1AF-BB71-4987-A98A-716332F51F2A}"/>
    <cellStyle name="item1 5 19 3" xfId="3167" xr:uid="{E699005A-440E-44C5-8519-E7A1F0E2B9A8}"/>
    <cellStyle name="item1 5 2" xfId="1031" xr:uid="{00000000-0005-0000-0000-000006040000}"/>
    <cellStyle name="item1 5 2 2" xfId="5242" xr:uid="{DECEF494-2C85-49BC-A2C8-24F5126FD1B9}"/>
    <cellStyle name="item1 5 2 3" xfId="3168" xr:uid="{4CF86E39-171E-44BB-B77A-10EC167493AD}"/>
    <cellStyle name="item1 5 20" xfId="1032" xr:uid="{00000000-0005-0000-0000-000007040000}"/>
    <cellStyle name="item1 5 20 2" xfId="5243" xr:uid="{6174F6A9-67E3-42F5-80BA-B5F21FCAA683}"/>
    <cellStyle name="item1 5 20 3" xfId="3169" xr:uid="{5B96E9B7-233C-423E-89D9-A4F8947FF195}"/>
    <cellStyle name="item1 5 21" xfId="1033" xr:uid="{00000000-0005-0000-0000-000008040000}"/>
    <cellStyle name="item1 5 21 2" xfId="5244" xr:uid="{7ACE000C-3681-4C75-9A99-83AF21884C01}"/>
    <cellStyle name="item1 5 21 3" xfId="3170" xr:uid="{B64BA23C-8A70-4E2B-B06B-F67E8A468619}"/>
    <cellStyle name="item1 5 22" xfId="1034" xr:uid="{00000000-0005-0000-0000-000009040000}"/>
    <cellStyle name="item1 5 22 2" xfId="5245" xr:uid="{37C77AE0-EC5F-4953-9FB5-07E6CB3426F1}"/>
    <cellStyle name="item1 5 22 3" xfId="3171" xr:uid="{ABE7C320-3EC8-4B80-B3E9-75E49EBDAFAA}"/>
    <cellStyle name="item1 5 23" xfId="1035" xr:uid="{00000000-0005-0000-0000-00000A040000}"/>
    <cellStyle name="item1 5 23 2" xfId="5246" xr:uid="{34A47545-3CF0-437E-9790-706FBD4AE2C0}"/>
    <cellStyle name="item1 5 23 3" xfId="3172" xr:uid="{E7FC2CF8-D733-4CB0-9882-925BBB5CF3B2}"/>
    <cellStyle name="item1 5 24" xfId="1036" xr:uid="{00000000-0005-0000-0000-00000B040000}"/>
    <cellStyle name="item1 5 24 2" xfId="5247" xr:uid="{BB4C9819-8938-4F51-AFC0-482787649277}"/>
    <cellStyle name="item1 5 24 3" xfId="3173" xr:uid="{6F083119-9BDB-48BE-9991-B455BB045702}"/>
    <cellStyle name="item1 5 25" xfId="1037" xr:uid="{00000000-0005-0000-0000-00000C040000}"/>
    <cellStyle name="item1 5 25 2" xfId="5248" xr:uid="{237659C0-40C1-4266-9453-807D5D5A7B20}"/>
    <cellStyle name="item1 5 25 3" xfId="3174" xr:uid="{78B9154A-8CFD-4B86-9C68-D26BD3ACC631}"/>
    <cellStyle name="item1 5 26" xfId="1038" xr:uid="{00000000-0005-0000-0000-00000D040000}"/>
    <cellStyle name="item1 5 26 2" xfId="5249" xr:uid="{3217E1A5-03FF-4D99-8EF7-008299991F89}"/>
    <cellStyle name="item1 5 26 3" xfId="3175" xr:uid="{E6318799-9D51-484F-B6FE-AC079944F0A7}"/>
    <cellStyle name="item1 5 27" xfId="1039" xr:uid="{00000000-0005-0000-0000-00000E040000}"/>
    <cellStyle name="item1 5 27 2" xfId="5250" xr:uid="{363A3537-941F-4DFA-9DDE-1B2E55AFB2EF}"/>
    <cellStyle name="item1 5 27 3" xfId="3176" xr:uid="{ADD97BA2-582D-4CFC-ADDB-5048C4FD0FD9}"/>
    <cellStyle name="item1 5 28" xfId="1040" xr:uid="{00000000-0005-0000-0000-00000F040000}"/>
    <cellStyle name="item1 5 28 2" xfId="5251" xr:uid="{22A94303-4501-4102-BF1E-A879CBA80CB4}"/>
    <cellStyle name="item1 5 28 3" xfId="3177" xr:uid="{3BC26BEA-5D46-4750-9246-06A1B652879B}"/>
    <cellStyle name="item1 5 29" xfId="1041" xr:uid="{00000000-0005-0000-0000-000010040000}"/>
    <cellStyle name="item1 5 29 2" xfId="5252" xr:uid="{19E5EE4E-A642-4707-BB81-4306FCA11FF0}"/>
    <cellStyle name="item1 5 29 3" xfId="3178" xr:uid="{C657F97F-5990-4B87-9400-A674953A5CCC}"/>
    <cellStyle name="item1 5 3" xfId="1042" xr:uid="{00000000-0005-0000-0000-000011040000}"/>
    <cellStyle name="item1 5 3 2" xfId="5253" xr:uid="{202F91F6-C3EF-4147-B51A-7B0091C67414}"/>
    <cellStyle name="item1 5 3 3" xfId="3179" xr:uid="{2CC7A95B-C9D0-4558-B3CE-F4AFBEA081C4}"/>
    <cellStyle name="item1 5 30" xfId="5231" xr:uid="{0B95FC09-106D-40E1-AE4C-CC55F863F494}"/>
    <cellStyle name="item1 5 31" xfId="3157" xr:uid="{5CDB85B1-8CB5-4894-9FE0-05C33BBD8C48}"/>
    <cellStyle name="item1 5 4" xfId="1043" xr:uid="{00000000-0005-0000-0000-000012040000}"/>
    <cellStyle name="item1 5 4 2" xfId="5254" xr:uid="{A640A88C-3FCB-461A-B181-345D309230E2}"/>
    <cellStyle name="item1 5 4 3" xfId="3180" xr:uid="{6F974A1D-AB01-4CE0-AD36-DDAD9086C42F}"/>
    <cellStyle name="item1 5 5" xfId="1044" xr:uid="{00000000-0005-0000-0000-000013040000}"/>
    <cellStyle name="item1 5 5 2" xfId="5255" xr:uid="{0039BF95-815A-48CA-8E71-76379A3D24EB}"/>
    <cellStyle name="item1 5 5 3" xfId="3181" xr:uid="{9695AE87-A14D-4F05-B307-33ECC2B8857C}"/>
    <cellStyle name="item1 5 6" xfId="1045" xr:uid="{00000000-0005-0000-0000-000014040000}"/>
    <cellStyle name="item1 5 6 2" xfId="5256" xr:uid="{5BA9C2E0-0B1B-4AC3-ACC6-A7383AC54C9D}"/>
    <cellStyle name="item1 5 6 3" xfId="3182" xr:uid="{D8192CE4-B814-42D9-A61F-AF0836B407CF}"/>
    <cellStyle name="item1 5 7" xfId="1046" xr:uid="{00000000-0005-0000-0000-000015040000}"/>
    <cellStyle name="item1 5 7 2" xfId="5257" xr:uid="{98D649C2-4D76-4488-BB01-CE20689D6742}"/>
    <cellStyle name="item1 5 7 3" xfId="3183" xr:uid="{6CE7EFDB-2BBB-4954-828E-36B8D1A091A7}"/>
    <cellStyle name="item1 5 8" xfId="1047" xr:uid="{00000000-0005-0000-0000-000016040000}"/>
    <cellStyle name="item1 5 8 2" xfId="5258" xr:uid="{A60699C4-02AD-48D9-ABA2-15E06BA273DC}"/>
    <cellStyle name="item1 5 8 3" xfId="3184" xr:uid="{77FDE369-3400-461A-9014-DB2B80C0EA1E}"/>
    <cellStyle name="item1 5 9" xfId="1048" xr:uid="{00000000-0005-0000-0000-000017040000}"/>
    <cellStyle name="item1 5 9 2" xfId="5259" xr:uid="{85B4AF7B-6AF2-458F-9170-CDFA1C994B0C}"/>
    <cellStyle name="item1 5 9 3" xfId="3185" xr:uid="{888BFD9F-FB06-4E64-AA50-B729C4D36D32}"/>
    <cellStyle name="item1 6" xfId="1049" xr:uid="{00000000-0005-0000-0000-000018040000}"/>
    <cellStyle name="item1 6 10" xfId="1050" xr:uid="{00000000-0005-0000-0000-000019040000}"/>
    <cellStyle name="item1 6 10 2" xfId="5261" xr:uid="{AF0CB98D-8E67-448A-9CFB-AD91AA7163E9}"/>
    <cellStyle name="item1 6 10 3" xfId="3187" xr:uid="{D5B0E868-F8C1-4C10-8C9D-B6681C85309E}"/>
    <cellStyle name="item1 6 11" xfId="1051" xr:uid="{00000000-0005-0000-0000-00001A040000}"/>
    <cellStyle name="item1 6 11 2" xfId="5262" xr:uid="{E15A96AE-47A1-4F91-B202-6BAE5FC4522F}"/>
    <cellStyle name="item1 6 11 3" xfId="3188" xr:uid="{1E09645A-EF5E-4581-911D-B7F1AFE02E80}"/>
    <cellStyle name="item1 6 12" xfId="1052" xr:uid="{00000000-0005-0000-0000-00001B040000}"/>
    <cellStyle name="item1 6 12 2" xfId="5263" xr:uid="{D164153F-C511-420B-8BEF-83DDFDBDAAE1}"/>
    <cellStyle name="item1 6 12 3" xfId="3189" xr:uid="{C2E0E3F4-3702-4018-A040-9923EF007A16}"/>
    <cellStyle name="item1 6 13" xfId="1053" xr:uid="{00000000-0005-0000-0000-00001C040000}"/>
    <cellStyle name="item1 6 13 2" xfId="5264" xr:uid="{60AA6BAE-4BFA-4AD5-84B6-A06FD588158C}"/>
    <cellStyle name="item1 6 13 3" xfId="3190" xr:uid="{8DF68DA4-93A2-46D7-B5A4-B55F9B1E1F27}"/>
    <cellStyle name="item1 6 14" xfId="1054" xr:uid="{00000000-0005-0000-0000-00001D040000}"/>
    <cellStyle name="item1 6 14 2" xfId="5265" xr:uid="{092830FE-653F-4C04-BB9C-7139CAC84375}"/>
    <cellStyle name="item1 6 14 3" xfId="3191" xr:uid="{76DB3036-E359-43B5-B7E9-84375E154AF6}"/>
    <cellStyle name="item1 6 15" xfId="1055" xr:uid="{00000000-0005-0000-0000-00001E040000}"/>
    <cellStyle name="item1 6 15 2" xfId="5266" xr:uid="{9452C89C-2E90-447C-B54E-EDB2FB748DBA}"/>
    <cellStyle name="item1 6 15 3" xfId="3192" xr:uid="{BE3632EA-F5ED-439E-AA3E-A967EE233878}"/>
    <cellStyle name="item1 6 16" xfId="1056" xr:uid="{00000000-0005-0000-0000-00001F040000}"/>
    <cellStyle name="item1 6 16 2" xfId="5267" xr:uid="{16FF62AE-D3F8-4F0A-8CFD-95EC4318D111}"/>
    <cellStyle name="item1 6 16 3" xfId="3193" xr:uid="{6B98039C-CB49-40DC-9EF5-7EADFEC3C7C5}"/>
    <cellStyle name="item1 6 17" xfId="1057" xr:uid="{00000000-0005-0000-0000-000020040000}"/>
    <cellStyle name="item1 6 17 2" xfId="5268" xr:uid="{E40AA04E-E1FF-4FAA-B335-5236BEF2D4E2}"/>
    <cellStyle name="item1 6 17 3" xfId="3194" xr:uid="{1730C9B6-F794-4BA0-A6B2-166FA7E44EB6}"/>
    <cellStyle name="item1 6 18" xfId="1058" xr:uid="{00000000-0005-0000-0000-000021040000}"/>
    <cellStyle name="item1 6 18 2" xfId="5269" xr:uid="{1AD0FCE1-6708-49C2-8893-F590DE06E95B}"/>
    <cellStyle name="item1 6 18 3" xfId="3195" xr:uid="{09295DCB-518F-48F1-B6DE-AEA7AE2CC133}"/>
    <cellStyle name="item1 6 19" xfId="1059" xr:uid="{00000000-0005-0000-0000-000022040000}"/>
    <cellStyle name="item1 6 19 2" xfId="5270" xr:uid="{1898362E-7499-43D5-B653-88DA061A810F}"/>
    <cellStyle name="item1 6 19 3" xfId="3196" xr:uid="{EB4B7721-8CA9-45AD-9A7E-DD02DB105180}"/>
    <cellStyle name="item1 6 2" xfId="1060" xr:uid="{00000000-0005-0000-0000-000023040000}"/>
    <cellStyle name="item1 6 2 2" xfId="5271" xr:uid="{5D6F22F0-5952-4264-8EFC-1CA0B73ADC6F}"/>
    <cellStyle name="item1 6 2 3" xfId="3197" xr:uid="{1D6FB618-C9D1-4714-A13E-01AAD9A56F62}"/>
    <cellStyle name="item1 6 20" xfId="1061" xr:uid="{00000000-0005-0000-0000-000024040000}"/>
    <cellStyle name="item1 6 20 2" xfId="5272" xr:uid="{487FFD75-B678-4B0D-9AC7-30879F8CD9D2}"/>
    <cellStyle name="item1 6 20 3" xfId="3198" xr:uid="{5B3C3B6E-D434-46C3-ABF5-46074E98B10B}"/>
    <cellStyle name="item1 6 21" xfId="1062" xr:uid="{00000000-0005-0000-0000-000025040000}"/>
    <cellStyle name="item1 6 21 2" xfId="5273" xr:uid="{87AD1A95-56E8-40D7-9EDC-12D502BAA540}"/>
    <cellStyle name="item1 6 21 3" xfId="3199" xr:uid="{87AD3006-E107-49F4-AD3A-696A42370779}"/>
    <cellStyle name="item1 6 22" xfId="1063" xr:uid="{00000000-0005-0000-0000-000026040000}"/>
    <cellStyle name="item1 6 22 2" xfId="5274" xr:uid="{2B97309E-2076-47DA-9D9B-517E58A3FA00}"/>
    <cellStyle name="item1 6 22 3" xfId="3200" xr:uid="{9AFB6CA0-68E6-4F51-8CDF-645B2CE10F51}"/>
    <cellStyle name="item1 6 23" xfId="1064" xr:uid="{00000000-0005-0000-0000-000027040000}"/>
    <cellStyle name="item1 6 23 2" xfId="5275" xr:uid="{73121220-FD8E-4225-90C2-604B1D3276F6}"/>
    <cellStyle name="item1 6 23 3" xfId="3201" xr:uid="{34A872FB-1DC1-45A8-8E87-1A29C36E6F9F}"/>
    <cellStyle name="item1 6 24" xfId="1065" xr:uid="{00000000-0005-0000-0000-000028040000}"/>
    <cellStyle name="item1 6 24 2" xfId="5276" xr:uid="{E786A39D-6D3F-4ACE-B185-EBFA3D9F7DF8}"/>
    <cellStyle name="item1 6 24 3" xfId="3202" xr:uid="{53BF0A64-209A-4D9A-AE5B-DE72EA9A3F8D}"/>
    <cellStyle name="item1 6 25" xfId="1066" xr:uid="{00000000-0005-0000-0000-000029040000}"/>
    <cellStyle name="item1 6 25 2" xfId="5277" xr:uid="{99B930BF-0AD3-4BC9-A3E5-3A26E9A2193E}"/>
    <cellStyle name="item1 6 25 3" xfId="3203" xr:uid="{7DBB88C0-003A-4513-9188-78286395E842}"/>
    <cellStyle name="item1 6 26" xfId="1067" xr:uid="{00000000-0005-0000-0000-00002A040000}"/>
    <cellStyle name="item1 6 26 2" xfId="5278" xr:uid="{D8E6DA76-9683-4F52-8FFE-A91B66CB4750}"/>
    <cellStyle name="item1 6 26 3" xfId="3204" xr:uid="{3BF5ACCC-C83F-4410-963B-750ABA713E6C}"/>
    <cellStyle name="item1 6 27" xfId="1068" xr:uid="{00000000-0005-0000-0000-00002B040000}"/>
    <cellStyle name="item1 6 27 2" xfId="5279" xr:uid="{E674E578-FCBE-4DA2-BF32-E530BA54CC5D}"/>
    <cellStyle name="item1 6 27 3" xfId="3205" xr:uid="{9A791FE9-2E3D-493A-A020-B4C090265D5D}"/>
    <cellStyle name="item1 6 28" xfId="1069" xr:uid="{00000000-0005-0000-0000-00002C040000}"/>
    <cellStyle name="item1 6 28 2" xfId="5280" xr:uid="{485380F3-C75B-4BCB-B599-4E5347EC666A}"/>
    <cellStyle name="item1 6 28 3" xfId="3206" xr:uid="{D42ACAAE-CFF1-48D7-BC99-D8EC1CACDAC0}"/>
    <cellStyle name="item1 6 29" xfId="1070" xr:uid="{00000000-0005-0000-0000-00002D040000}"/>
    <cellStyle name="item1 6 29 2" xfId="5281" xr:uid="{05BB69E3-CBF7-4516-BB62-BA873A4FEA07}"/>
    <cellStyle name="item1 6 29 3" xfId="3207" xr:uid="{B88BA257-BF97-4182-8F42-C5218CE14D52}"/>
    <cellStyle name="item1 6 3" xfId="1071" xr:uid="{00000000-0005-0000-0000-00002E040000}"/>
    <cellStyle name="item1 6 3 2" xfId="5282" xr:uid="{CFF6B5D1-48EC-4356-B463-D00A4B8C53BF}"/>
    <cellStyle name="item1 6 3 3" xfId="3208" xr:uid="{FC7FC356-A812-4836-9B41-487D64752E33}"/>
    <cellStyle name="item1 6 30" xfId="5260" xr:uid="{59E20B03-CBFB-44C3-9DC6-78893B1B28EE}"/>
    <cellStyle name="item1 6 31" xfId="3186" xr:uid="{97281DF2-2940-4C34-BCD9-84E0BFA71358}"/>
    <cellStyle name="item1 6 4" xfId="1072" xr:uid="{00000000-0005-0000-0000-00002F040000}"/>
    <cellStyle name="item1 6 4 2" xfId="5283" xr:uid="{C317565D-4369-4EA6-830B-09D85E39977A}"/>
    <cellStyle name="item1 6 4 3" xfId="3209" xr:uid="{787BA680-F6D6-42AB-BB74-A17FE6888BF6}"/>
    <cellStyle name="item1 6 5" xfId="1073" xr:uid="{00000000-0005-0000-0000-000030040000}"/>
    <cellStyle name="item1 6 5 2" xfId="5284" xr:uid="{D22A02A7-FFCB-44B6-8486-A8582CC3ED24}"/>
    <cellStyle name="item1 6 5 3" xfId="3210" xr:uid="{5BBD66FF-56A6-412C-9716-F2A8F016E978}"/>
    <cellStyle name="item1 6 6" xfId="1074" xr:uid="{00000000-0005-0000-0000-000031040000}"/>
    <cellStyle name="item1 6 6 2" xfId="5285" xr:uid="{18784C98-728C-4166-ABB4-C8ED90D48490}"/>
    <cellStyle name="item1 6 6 3" xfId="3211" xr:uid="{E6818E04-39F3-4807-BCBC-886708B395DF}"/>
    <cellStyle name="item1 6 7" xfId="1075" xr:uid="{00000000-0005-0000-0000-000032040000}"/>
    <cellStyle name="item1 6 7 2" xfId="5286" xr:uid="{E47A4390-9A83-440A-93C5-8CFC54115E3A}"/>
    <cellStyle name="item1 6 7 3" xfId="3212" xr:uid="{6A6B299C-834A-42EF-BA94-16B13EBFA2F7}"/>
    <cellStyle name="item1 6 8" xfId="1076" xr:uid="{00000000-0005-0000-0000-000033040000}"/>
    <cellStyle name="item1 6 8 2" xfId="5287" xr:uid="{56591FC6-F3DC-4A52-9E9A-9DC0253925CC}"/>
    <cellStyle name="item1 6 8 3" xfId="3213" xr:uid="{46249720-BC99-4D4D-8440-ADFF6DDCB4A6}"/>
    <cellStyle name="item1 6 9" xfId="1077" xr:uid="{00000000-0005-0000-0000-000034040000}"/>
    <cellStyle name="item1 6 9 2" xfId="5288" xr:uid="{B7BDED10-AFDE-4B34-9249-E441CACF49E4}"/>
    <cellStyle name="item1 6 9 3" xfId="3214" xr:uid="{45412907-ECD7-4C78-A095-F3689CD1D8EB}"/>
    <cellStyle name="item1 7" xfId="5143" xr:uid="{1DB37F03-45FF-4983-9A62-A9FEE1CF370D}"/>
    <cellStyle name="item1 8" xfId="3069" xr:uid="{57222251-A748-4540-82B9-B4BD2793030B}"/>
    <cellStyle name="Linked Cell 2" xfId="1078" xr:uid="{00000000-0005-0000-0000-000035040000}"/>
    <cellStyle name="Linked Cell 3" xfId="1079" xr:uid="{00000000-0005-0000-0000-000036040000}"/>
    <cellStyle name="Linked Cell 4" xfId="1080" xr:uid="{00000000-0005-0000-0000-000037040000}"/>
    <cellStyle name="Linked Cell 5" xfId="1081" xr:uid="{00000000-0005-0000-0000-000038040000}"/>
    <cellStyle name="Linked Cell 6" xfId="1082" xr:uid="{00000000-0005-0000-0000-000039040000}"/>
    <cellStyle name="Magenta" xfId="1083" xr:uid="{00000000-0005-0000-0000-00003A040000}"/>
    <cellStyle name="Millares [0]_ MATRIZ DE ELIMINACIONES" xfId="1084" xr:uid="{00000000-0005-0000-0000-00003B040000}"/>
    <cellStyle name="Millares_ MATRIZ DE ELIMINACIONES" xfId="1085" xr:uid="{00000000-0005-0000-0000-00003C040000}"/>
    <cellStyle name="Milliers [0]" xfId="1086" xr:uid="{00000000-0005-0000-0000-00003D040000}"/>
    <cellStyle name="Moneda [0]_ MATRIZ DE ELIMINACIONES" xfId="1087" xr:uid="{00000000-0005-0000-0000-00003E040000}"/>
    <cellStyle name="Moneda_ MATRIZ DE ELIMINACIONES" xfId="1088" xr:uid="{00000000-0005-0000-0000-00003F040000}"/>
    <cellStyle name="Monétaire [0]" xfId="1089" xr:uid="{00000000-0005-0000-0000-000040040000}"/>
    <cellStyle name="Monétaire [0] 2" xfId="1090" xr:uid="{00000000-0005-0000-0000-000041040000}"/>
    <cellStyle name="Monétaire [0] 2 10" xfId="1091" xr:uid="{00000000-0005-0000-0000-000042040000}"/>
    <cellStyle name="Monétaire [0] 2 10 2" xfId="5291" xr:uid="{509FD69A-A897-42CF-B75B-AC6A4C6B0443}"/>
    <cellStyle name="Monétaire [0] 2 10 3" xfId="3217" xr:uid="{BBB78391-2BA9-4FBF-8B5D-2610BE30787B}"/>
    <cellStyle name="Monétaire [0] 2 11" xfId="1092" xr:uid="{00000000-0005-0000-0000-000043040000}"/>
    <cellStyle name="Monétaire [0] 2 11 2" xfId="5292" xr:uid="{E7D1A6AC-B69D-42A0-ABCD-995BE548FA59}"/>
    <cellStyle name="Monétaire [0] 2 11 3" xfId="3218" xr:uid="{C7B2FCB5-4089-465E-A1DA-06BD01954594}"/>
    <cellStyle name="Monétaire [0] 2 12" xfId="1093" xr:uid="{00000000-0005-0000-0000-000044040000}"/>
    <cellStyle name="Monétaire [0] 2 12 2" xfId="5293" xr:uid="{949CF9C0-F1E5-4A7F-B0A4-4FB23AD845A0}"/>
    <cellStyle name="Monétaire [0] 2 12 3" xfId="3219" xr:uid="{7310B7FD-6377-4812-BA17-05D62EC61153}"/>
    <cellStyle name="Monétaire [0] 2 13" xfId="1094" xr:uid="{00000000-0005-0000-0000-000045040000}"/>
    <cellStyle name="Monétaire [0] 2 13 2" xfId="5294" xr:uid="{3F3C3C70-2EAA-49CE-A791-86306EE84B4D}"/>
    <cellStyle name="Monétaire [0] 2 13 3" xfId="3220" xr:uid="{0A1638DC-5CF7-4191-8115-80391E8B450C}"/>
    <cellStyle name="Monétaire [0] 2 14" xfId="1095" xr:uid="{00000000-0005-0000-0000-000046040000}"/>
    <cellStyle name="Monétaire [0] 2 14 2" xfId="5295" xr:uid="{5AB784F2-8AFC-45A9-B8FF-EAEAB87E1794}"/>
    <cellStyle name="Monétaire [0] 2 14 3" xfId="3221" xr:uid="{F432C52E-F560-44F4-BC51-785C960AFAC7}"/>
    <cellStyle name="Monétaire [0] 2 15" xfId="1096" xr:uid="{00000000-0005-0000-0000-000047040000}"/>
    <cellStyle name="Monétaire [0] 2 15 2" xfId="5296" xr:uid="{332D8217-EB7C-4389-9F02-B564EF6165BB}"/>
    <cellStyle name="Monétaire [0] 2 15 3" xfId="3222" xr:uid="{B0C8CBC4-BBD4-4D04-83E9-61AD00331D4B}"/>
    <cellStyle name="Monétaire [0] 2 16" xfId="1097" xr:uid="{00000000-0005-0000-0000-000048040000}"/>
    <cellStyle name="Monétaire [0] 2 16 2" xfId="5297" xr:uid="{8D89186C-E197-4B48-A5E2-79ADE3DC028F}"/>
    <cellStyle name="Monétaire [0] 2 16 3" xfId="3223" xr:uid="{41FC4C2A-0CDD-48EB-A598-AF85175C4CDC}"/>
    <cellStyle name="Monétaire [0] 2 17" xfId="1098" xr:uid="{00000000-0005-0000-0000-000049040000}"/>
    <cellStyle name="Monétaire [0] 2 17 2" xfId="5298" xr:uid="{395E431C-B2C4-4DAD-A455-5F406A049C94}"/>
    <cellStyle name="Monétaire [0] 2 17 3" xfId="3224" xr:uid="{4F92072B-A4A0-4D9E-B9A8-CEC030D68152}"/>
    <cellStyle name="Monétaire [0] 2 18" xfId="1099" xr:uid="{00000000-0005-0000-0000-00004A040000}"/>
    <cellStyle name="Monétaire [0] 2 18 2" xfId="5299" xr:uid="{06C94D10-B445-4B18-A4CC-E40AADF92FCE}"/>
    <cellStyle name="Monétaire [0] 2 18 3" xfId="3225" xr:uid="{918C484F-F72A-4BB3-8AFF-689F3438F9F3}"/>
    <cellStyle name="Monétaire [0] 2 19" xfId="1100" xr:uid="{00000000-0005-0000-0000-00004B040000}"/>
    <cellStyle name="Monétaire [0] 2 19 2" xfId="5300" xr:uid="{3476B53C-956A-4DA9-B344-F77E4412107C}"/>
    <cellStyle name="Monétaire [0] 2 19 3" xfId="3226" xr:uid="{6272B3A2-8EA1-4D7F-9D3F-886DBA3D7718}"/>
    <cellStyle name="Monétaire [0] 2 2" xfId="1101" xr:uid="{00000000-0005-0000-0000-00004C040000}"/>
    <cellStyle name="Monétaire [0] 2 2 2" xfId="5301" xr:uid="{56D707C8-8E4D-4487-AF65-E131F4D386A0}"/>
    <cellStyle name="Monétaire [0] 2 2 3" xfId="3227" xr:uid="{8B82E5E6-A5EB-49E9-85A8-8D264EE9E68A}"/>
    <cellStyle name="Monétaire [0] 2 20" xfId="1102" xr:uid="{00000000-0005-0000-0000-00004D040000}"/>
    <cellStyle name="Monétaire [0] 2 20 2" xfId="5302" xr:uid="{6D4F5803-BEB4-4F10-B7E1-F1F71BB3E31D}"/>
    <cellStyle name="Monétaire [0] 2 20 3" xfId="3228" xr:uid="{E5ACAAC7-4E06-4FDE-B090-DA3D4388E602}"/>
    <cellStyle name="Monétaire [0] 2 21" xfId="1103" xr:uid="{00000000-0005-0000-0000-00004E040000}"/>
    <cellStyle name="Monétaire [0] 2 21 2" xfId="5303" xr:uid="{F20066C2-32A6-423B-B69B-59A8071C0F76}"/>
    <cellStyle name="Monétaire [0] 2 21 3" xfId="3229" xr:uid="{F587B332-FB99-4D3E-827B-14C2C62A2DB2}"/>
    <cellStyle name="Monétaire [0] 2 22" xfId="1104" xr:uid="{00000000-0005-0000-0000-00004F040000}"/>
    <cellStyle name="Monétaire [0] 2 22 2" xfId="5304" xr:uid="{53DEC7A9-6C1C-498A-ACDC-CB6E7B584AA1}"/>
    <cellStyle name="Monétaire [0] 2 22 3" xfId="3230" xr:uid="{34B990BB-64C7-4547-9F75-17C914EFBF6B}"/>
    <cellStyle name="Monétaire [0] 2 23" xfId="1105" xr:uid="{00000000-0005-0000-0000-000050040000}"/>
    <cellStyle name="Monétaire [0] 2 23 2" xfId="5305" xr:uid="{10D8F2BE-EC90-4BC0-B5FD-1B10806BC322}"/>
    <cellStyle name="Monétaire [0] 2 23 3" xfId="3231" xr:uid="{94F3B997-62C6-445A-B972-2E50B5890AAB}"/>
    <cellStyle name="Monétaire [0] 2 24" xfId="1106" xr:uid="{00000000-0005-0000-0000-000051040000}"/>
    <cellStyle name="Monétaire [0] 2 24 2" xfId="5306" xr:uid="{82D342DA-48DA-4182-B291-D3BB66D7B2E1}"/>
    <cellStyle name="Monétaire [0] 2 24 3" xfId="3232" xr:uid="{13F0E468-8615-45A9-B567-11524D459DF2}"/>
    <cellStyle name="Monétaire [0] 2 25" xfId="1107" xr:uid="{00000000-0005-0000-0000-000052040000}"/>
    <cellStyle name="Monétaire [0] 2 25 2" xfId="5307" xr:uid="{83B8CAB8-3C4C-4C32-A81E-E29FED9ADF5F}"/>
    <cellStyle name="Monétaire [0] 2 25 3" xfId="3233" xr:uid="{9CE9BF02-EA7B-4626-B8DD-50D0D076F838}"/>
    <cellStyle name="Monétaire [0] 2 26" xfId="1108" xr:uid="{00000000-0005-0000-0000-000053040000}"/>
    <cellStyle name="Monétaire [0] 2 26 2" xfId="5308" xr:uid="{21C7D980-DE09-496D-9404-17115D9C5C6F}"/>
    <cellStyle name="Monétaire [0] 2 26 3" xfId="3234" xr:uid="{84A5DB8C-13E2-4CF5-8DA4-C25719FDFD0C}"/>
    <cellStyle name="Monétaire [0] 2 27" xfId="1109" xr:uid="{00000000-0005-0000-0000-000054040000}"/>
    <cellStyle name="Monétaire [0] 2 27 2" xfId="5309" xr:uid="{06E7BB31-BD03-4DE0-B2F3-2AAC43573149}"/>
    <cellStyle name="Monétaire [0] 2 27 3" xfId="3235" xr:uid="{41BFFB9D-D746-4967-BB8D-ABC10B623D30}"/>
    <cellStyle name="Monétaire [0] 2 28" xfId="1110" xr:uid="{00000000-0005-0000-0000-000055040000}"/>
    <cellStyle name="Monétaire [0] 2 28 2" xfId="5310" xr:uid="{FF1454CB-5F8F-47EF-8F66-56FE50C1F4D1}"/>
    <cellStyle name="Monétaire [0] 2 28 3" xfId="3236" xr:uid="{E2D3E11F-DF5F-461F-B272-EB86707AC8B1}"/>
    <cellStyle name="Monétaire [0] 2 29" xfId="1111" xr:uid="{00000000-0005-0000-0000-000056040000}"/>
    <cellStyle name="Monétaire [0] 2 29 2" xfId="5311" xr:uid="{749D5B49-65F6-4168-9C3F-D455F4FDD501}"/>
    <cellStyle name="Monétaire [0] 2 29 3" xfId="3237" xr:uid="{C7E3A93A-138B-448B-96B8-19778A6420AE}"/>
    <cellStyle name="Monétaire [0] 2 3" xfId="1112" xr:uid="{00000000-0005-0000-0000-000057040000}"/>
    <cellStyle name="Monétaire [0] 2 3 2" xfId="5312" xr:uid="{D933D8CB-17D5-4811-A904-577D8B63110B}"/>
    <cellStyle name="Monétaire [0] 2 3 3" xfId="3238" xr:uid="{0788A742-C44C-4EB2-957C-6478D6EC8245}"/>
    <cellStyle name="Monétaire [0] 2 30" xfId="5290" xr:uid="{B9928DF3-F574-47DA-9D78-836A0EEDB17F}"/>
    <cellStyle name="Monétaire [0] 2 31" xfId="3216" xr:uid="{7706F5AB-5631-4ABA-9AD9-AED9E28FF310}"/>
    <cellStyle name="Monétaire [0] 2 4" xfId="1113" xr:uid="{00000000-0005-0000-0000-000058040000}"/>
    <cellStyle name="Monétaire [0] 2 4 2" xfId="5313" xr:uid="{CC742019-319D-4D38-857E-D1F11FC57B61}"/>
    <cellStyle name="Monétaire [0] 2 4 3" xfId="3239" xr:uid="{16802251-F2BB-4EE6-B47F-0DCEBABF5EF0}"/>
    <cellStyle name="Monétaire [0] 2 5" xfId="1114" xr:uid="{00000000-0005-0000-0000-000059040000}"/>
    <cellStyle name="Monétaire [0] 2 5 2" xfId="5314" xr:uid="{64795FE3-6065-4266-88BC-2F5B0BD99671}"/>
    <cellStyle name="Monétaire [0] 2 5 3" xfId="3240" xr:uid="{58FAAADB-0836-483E-B2C3-EA75CBE7872C}"/>
    <cellStyle name="Monétaire [0] 2 6" xfId="1115" xr:uid="{00000000-0005-0000-0000-00005A040000}"/>
    <cellStyle name="Monétaire [0] 2 6 2" xfId="5315" xr:uid="{4F64EB7C-A2D1-4AC2-810B-5E31BB70732C}"/>
    <cellStyle name="Monétaire [0] 2 6 3" xfId="3241" xr:uid="{79AC225D-3574-4878-ACC1-BBD4D48234E8}"/>
    <cellStyle name="Monétaire [0] 2 7" xfId="1116" xr:uid="{00000000-0005-0000-0000-00005B040000}"/>
    <cellStyle name="Monétaire [0] 2 7 2" xfId="5316" xr:uid="{EC7360EE-D796-48AD-BB25-2132365D1ABA}"/>
    <cellStyle name="Monétaire [0] 2 7 3" xfId="3242" xr:uid="{5249D57D-8DE7-4E67-AFE5-29CB90625D0D}"/>
    <cellStyle name="Monétaire [0] 2 8" xfId="1117" xr:uid="{00000000-0005-0000-0000-00005C040000}"/>
    <cellStyle name="Monétaire [0] 2 8 2" xfId="5317" xr:uid="{539F4E81-8BBD-43B5-B824-861B80565854}"/>
    <cellStyle name="Monétaire [0] 2 8 3" xfId="3243" xr:uid="{3FA73517-4E9D-42FC-B06B-757DD73F999C}"/>
    <cellStyle name="Monétaire [0] 2 9" xfId="1118" xr:uid="{00000000-0005-0000-0000-00005D040000}"/>
    <cellStyle name="Monétaire [0] 2 9 2" xfId="5318" xr:uid="{7E5B4820-22A6-4D0C-BCF0-698CDDAA8788}"/>
    <cellStyle name="Monétaire [0] 2 9 3" xfId="3244" xr:uid="{ABB5E6BA-7BE8-48D1-8E61-86E791755935}"/>
    <cellStyle name="Monétaire [0] 3" xfId="1119" xr:uid="{00000000-0005-0000-0000-00005E040000}"/>
    <cellStyle name="Monétaire [0] 3 10" xfId="1120" xr:uid="{00000000-0005-0000-0000-00005F040000}"/>
    <cellStyle name="Monétaire [0] 3 10 2" xfId="5320" xr:uid="{D82E8835-38FC-4B2A-AD5D-CA70D6654936}"/>
    <cellStyle name="Monétaire [0] 3 10 3" xfId="3246" xr:uid="{7D513037-822A-4AD4-A3C4-67B5A24C8A2C}"/>
    <cellStyle name="Monétaire [0] 3 11" xfId="1121" xr:uid="{00000000-0005-0000-0000-000060040000}"/>
    <cellStyle name="Monétaire [0] 3 11 2" xfId="5321" xr:uid="{D77D1B23-E3EE-495F-9719-EF1C565CD459}"/>
    <cellStyle name="Monétaire [0] 3 11 3" xfId="3247" xr:uid="{2D36DCC4-2F8D-401A-9CE6-F4083FBA1D8F}"/>
    <cellStyle name="Monétaire [0] 3 12" xfId="1122" xr:uid="{00000000-0005-0000-0000-000061040000}"/>
    <cellStyle name="Monétaire [0] 3 12 2" xfId="5322" xr:uid="{9EA04015-44CD-40FF-9F83-82355D1AAF42}"/>
    <cellStyle name="Monétaire [0] 3 12 3" xfId="3248" xr:uid="{F75C1B9F-4643-43E4-BE99-C8CF362C33DB}"/>
    <cellStyle name="Monétaire [0] 3 13" xfId="1123" xr:uid="{00000000-0005-0000-0000-000062040000}"/>
    <cellStyle name="Monétaire [0] 3 13 2" xfId="5323" xr:uid="{3C3A4E1F-8705-4EA8-BBF1-EA700EF8E1BB}"/>
    <cellStyle name="Monétaire [0] 3 13 3" xfId="3249" xr:uid="{EBA3E536-A4D8-4174-B6FD-A2C3976AA026}"/>
    <cellStyle name="Monétaire [0] 3 14" xfId="1124" xr:uid="{00000000-0005-0000-0000-000063040000}"/>
    <cellStyle name="Monétaire [0] 3 14 2" xfId="5324" xr:uid="{CC78C661-131A-4F3B-853D-CE98477D5A7C}"/>
    <cellStyle name="Monétaire [0] 3 14 3" xfId="3250" xr:uid="{6502C3AE-F56F-418F-96D4-88D81FF2F7A7}"/>
    <cellStyle name="Monétaire [0] 3 15" xfId="1125" xr:uid="{00000000-0005-0000-0000-000064040000}"/>
    <cellStyle name="Monétaire [0] 3 15 2" xfId="5325" xr:uid="{A2453D93-8CE7-47D9-861B-B473DC186E46}"/>
    <cellStyle name="Monétaire [0] 3 15 3" xfId="3251" xr:uid="{1C830116-D3C9-4CBB-AD3B-EAE78DF3DC3D}"/>
    <cellStyle name="Monétaire [0] 3 16" xfId="1126" xr:uid="{00000000-0005-0000-0000-000065040000}"/>
    <cellStyle name="Monétaire [0] 3 16 2" xfId="5326" xr:uid="{5BA1CD27-0CCF-48A4-87F7-8EDA0CBEB2A4}"/>
    <cellStyle name="Monétaire [0] 3 16 3" xfId="3252" xr:uid="{B5CBDB1D-1B2A-4EEC-B233-081B303163EC}"/>
    <cellStyle name="Monétaire [0] 3 17" xfId="1127" xr:uid="{00000000-0005-0000-0000-000066040000}"/>
    <cellStyle name="Monétaire [0] 3 17 2" xfId="5327" xr:uid="{940C163C-7FB5-4FEF-BFF8-4FD0B3223FE2}"/>
    <cellStyle name="Monétaire [0] 3 17 3" xfId="3253" xr:uid="{1B1AC443-0AA1-40FF-BE21-47B770BAF001}"/>
    <cellStyle name="Monétaire [0] 3 18" xfId="1128" xr:uid="{00000000-0005-0000-0000-000067040000}"/>
    <cellStyle name="Monétaire [0] 3 18 2" xfId="5328" xr:uid="{32F5781C-2381-485D-A969-AE88070B7675}"/>
    <cellStyle name="Monétaire [0] 3 18 3" xfId="3254" xr:uid="{1DC73B11-F248-435D-8B15-16CC1F79DB05}"/>
    <cellStyle name="Monétaire [0] 3 19" xfId="1129" xr:uid="{00000000-0005-0000-0000-000068040000}"/>
    <cellStyle name="Monétaire [0] 3 19 2" xfId="5329" xr:uid="{08D87E71-174D-414F-891C-110DCBED5B75}"/>
    <cellStyle name="Monétaire [0] 3 19 3" xfId="3255" xr:uid="{042D369F-BD16-4CDB-ADF5-EA6EE2461287}"/>
    <cellStyle name="Monétaire [0] 3 2" xfId="1130" xr:uid="{00000000-0005-0000-0000-000069040000}"/>
    <cellStyle name="Monétaire [0] 3 2 2" xfId="5330" xr:uid="{576AFE0E-772D-4AE6-857A-02E637EA8E12}"/>
    <cellStyle name="Monétaire [0] 3 2 3" xfId="3256" xr:uid="{9A550F4E-0D0B-41F4-9FA4-F6453983B4B3}"/>
    <cellStyle name="Monétaire [0] 3 20" xfId="1131" xr:uid="{00000000-0005-0000-0000-00006A040000}"/>
    <cellStyle name="Monétaire [0] 3 20 2" xfId="5331" xr:uid="{A2251F54-2AB1-46AB-BD99-E05A08C0A0A1}"/>
    <cellStyle name="Monétaire [0] 3 20 3" xfId="3257" xr:uid="{9B5ED077-B5EB-4B18-80E3-CC5C2AF5C9A3}"/>
    <cellStyle name="Monétaire [0] 3 21" xfId="1132" xr:uid="{00000000-0005-0000-0000-00006B040000}"/>
    <cellStyle name="Monétaire [0] 3 21 2" xfId="5332" xr:uid="{07CB75AD-480F-4FD1-9C02-1407F7E72D07}"/>
    <cellStyle name="Monétaire [0] 3 21 3" xfId="3258" xr:uid="{4EBEAD8E-F26A-42F6-8602-01AA18E16273}"/>
    <cellStyle name="Monétaire [0] 3 22" xfId="1133" xr:uid="{00000000-0005-0000-0000-00006C040000}"/>
    <cellStyle name="Monétaire [0] 3 22 2" xfId="5333" xr:uid="{35334650-76F9-44E1-AB97-B903DD3560EA}"/>
    <cellStyle name="Monétaire [0] 3 22 3" xfId="3259" xr:uid="{4EB3344B-1298-4922-A064-8B298C29BBC5}"/>
    <cellStyle name="Monétaire [0] 3 23" xfId="1134" xr:uid="{00000000-0005-0000-0000-00006D040000}"/>
    <cellStyle name="Monétaire [0] 3 23 2" xfId="5334" xr:uid="{35846341-9D82-486E-90E5-EA70D71F79B3}"/>
    <cellStyle name="Monétaire [0] 3 23 3" xfId="3260" xr:uid="{85ED0D3D-6244-4D81-AB95-96927FF93701}"/>
    <cellStyle name="Monétaire [0] 3 24" xfId="1135" xr:uid="{00000000-0005-0000-0000-00006E040000}"/>
    <cellStyle name="Monétaire [0] 3 24 2" xfId="5335" xr:uid="{7A5B9DE5-D9EE-44F3-8536-DEAEABB2A768}"/>
    <cellStyle name="Monétaire [0] 3 24 3" xfId="3261" xr:uid="{21F61844-43F5-4330-A7BA-43691AE282DB}"/>
    <cellStyle name="Monétaire [0] 3 25" xfId="1136" xr:uid="{00000000-0005-0000-0000-00006F040000}"/>
    <cellStyle name="Monétaire [0] 3 25 2" xfId="5336" xr:uid="{2F61A28D-746D-4618-BCBC-83A36DB5A8A3}"/>
    <cellStyle name="Monétaire [0] 3 25 3" xfId="3262" xr:uid="{F6C0CCB0-4898-4015-AA03-2E924340B5EF}"/>
    <cellStyle name="Monétaire [0] 3 26" xfId="1137" xr:uid="{00000000-0005-0000-0000-000070040000}"/>
    <cellStyle name="Monétaire [0] 3 26 2" xfId="5337" xr:uid="{0B85BA73-35FA-41A3-83C2-5F9C334B5968}"/>
    <cellStyle name="Monétaire [0] 3 26 3" xfId="3263" xr:uid="{6C0EF1D8-FE65-4B4E-ABB8-5EEF923F0352}"/>
    <cellStyle name="Monétaire [0] 3 27" xfId="1138" xr:uid="{00000000-0005-0000-0000-000071040000}"/>
    <cellStyle name="Monétaire [0] 3 27 2" xfId="5338" xr:uid="{92A8EF2C-7A33-4EAF-AD2D-DC00479083F7}"/>
    <cellStyle name="Monétaire [0] 3 27 3" xfId="3264" xr:uid="{CCF305CD-FD89-4F2A-A1B6-5AB8D2A0F53E}"/>
    <cellStyle name="Monétaire [0] 3 28" xfId="1139" xr:uid="{00000000-0005-0000-0000-000072040000}"/>
    <cellStyle name="Monétaire [0] 3 28 2" xfId="5339" xr:uid="{337ACFFB-153B-48CA-8F70-6B1DB47AFEA8}"/>
    <cellStyle name="Monétaire [0] 3 28 3" xfId="3265" xr:uid="{AF2CDCF8-6E4F-4286-84C4-EFF38E32A285}"/>
    <cellStyle name="Monétaire [0] 3 29" xfId="1140" xr:uid="{00000000-0005-0000-0000-000073040000}"/>
    <cellStyle name="Monétaire [0] 3 29 2" xfId="5340" xr:uid="{7D2947DE-DD99-4302-B1EF-5A5A68E11D0D}"/>
    <cellStyle name="Monétaire [0] 3 29 3" xfId="3266" xr:uid="{46C2EB64-19CB-42C7-83F9-905A8D768635}"/>
    <cellStyle name="Monétaire [0] 3 3" xfId="1141" xr:uid="{00000000-0005-0000-0000-000074040000}"/>
    <cellStyle name="Monétaire [0] 3 3 2" xfId="5341" xr:uid="{DF7A5EAA-ED24-4C9A-BBC2-69EB30349C8D}"/>
    <cellStyle name="Monétaire [0] 3 3 3" xfId="3267" xr:uid="{F5C06B77-4F58-4A4B-9658-DDFA510472D9}"/>
    <cellStyle name="Monétaire [0] 3 30" xfId="5319" xr:uid="{F87FA057-6377-4975-AB82-2A3084F0CCC4}"/>
    <cellStyle name="Monétaire [0] 3 31" xfId="3245" xr:uid="{A304B4C9-0E71-4D21-A49D-29E4AB1AA135}"/>
    <cellStyle name="Monétaire [0] 3 4" xfId="1142" xr:uid="{00000000-0005-0000-0000-000075040000}"/>
    <cellStyle name="Monétaire [0] 3 4 2" xfId="5342" xr:uid="{B7425E7D-F353-4A26-BA46-373F30E19F02}"/>
    <cellStyle name="Monétaire [0] 3 4 3" xfId="3268" xr:uid="{BF5EFF76-2958-4AEB-8CA0-0A5FA5A30278}"/>
    <cellStyle name="Monétaire [0] 3 5" xfId="1143" xr:uid="{00000000-0005-0000-0000-000076040000}"/>
    <cellStyle name="Monétaire [0] 3 5 2" xfId="5343" xr:uid="{F929FEF0-CD1C-4B64-BA49-46E39B8674BC}"/>
    <cellStyle name="Monétaire [0] 3 5 3" xfId="3269" xr:uid="{C4EDFD77-8B55-4370-B694-5AD644620D3D}"/>
    <cellStyle name="Monétaire [0] 3 6" xfId="1144" xr:uid="{00000000-0005-0000-0000-000077040000}"/>
    <cellStyle name="Monétaire [0] 3 6 2" xfId="5344" xr:uid="{8F5EAB58-EE0D-4B46-8712-F941D827CB09}"/>
    <cellStyle name="Monétaire [0] 3 6 3" xfId="3270" xr:uid="{F62FFB42-AAEA-485A-B5D8-110A5717D386}"/>
    <cellStyle name="Monétaire [0] 3 7" xfId="1145" xr:uid="{00000000-0005-0000-0000-000078040000}"/>
    <cellStyle name="Monétaire [0] 3 7 2" xfId="5345" xr:uid="{3680B7D0-58CD-4E26-9FA6-41BD620F0553}"/>
    <cellStyle name="Monétaire [0] 3 7 3" xfId="3271" xr:uid="{640A54D2-BF2D-4620-A4DC-69A1ACA8DDC7}"/>
    <cellStyle name="Monétaire [0] 3 8" xfId="1146" xr:uid="{00000000-0005-0000-0000-000079040000}"/>
    <cellStyle name="Monétaire [0] 3 8 2" xfId="5346" xr:uid="{2B3A7B09-410D-4AE6-BF30-3E47E5E841E1}"/>
    <cellStyle name="Monétaire [0] 3 8 3" xfId="3272" xr:uid="{25B7F090-5D74-4315-BCAC-49F2EEE0658D}"/>
    <cellStyle name="Monétaire [0] 3 9" xfId="1147" xr:uid="{00000000-0005-0000-0000-00007A040000}"/>
    <cellStyle name="Monétaire [0] 3 9 2" xfId="5347" xr:uid="{8851F4A3-E2ED-4C4A-8FD6-411213B3F076}"/>
    <cellStyle name="Monétaire [0] 3 9 3" xfId="3273" xr:uid="{6091E1D9-50FE-43FC-B60C-D27925B4E88D}"/>
    <cellStyle name="Monétaire [0] 4" xfId="1148" xr:uid="{00000000-0005-0000-0000-00007B040000}"/>
    <cellStyle name="Monétaire [0] 4 10" xfId="1149" xr:uid="{00000000-0005-0000-0000-00007C040000}"/>
    <cellStyle name="Monétaire [0] 4 10 2" xfId="5349" xr:uid="{0852C7CD-7C79-4796-A017-D305FBFAB3FB}"/>
    <cellStyle name="Monétaire [0] 4 10 3" xfId="3275" xr:uid="{830D1EEC-0947-4E37-8C8D-D17EBDEDEC9F}"/>
    <cellStyle name="Monétaire [0] 4 11" xfId="1150" xr:uid="{00000000-0005-0000-0000-00007D040000}"/>
    <cellStyle name="Monétaire [0] 4 11 2" xfId="5350" xr:uid="{6D3D8FAE-D9D2-4226-8DF3-B93020C782CE}"/>
    <cellStyle name="Monétaire [0] 4 11 3" xfId="3276" xr:uid="{0127AFB6-06CA-4856-AE74-8666B4B3AF42}"/>
    <cellStyle name="Monétaire [0] 4 12" xfId="1151" xr:uid="{00000000-0005-0000-0000-00007E040000}"/>
    <cellStyle name="Monétaire [0] 4 12 2" xfId="5351" xr:uid="{BA94C296-8161-4CC5-BBB1-E9E481035497}"/>
    <cellStyle name="Monétaire [0] 4 12 3" xfId="3277" xr:uid="{109046E5-2032-47CB-8CDA-AB96213626A8}"/>
    <cellStyle name="Monétaire [0] 4 13" xfId="1152" xr:uid="{00000000-0005-0000-0000-00007F040000}"/>
    <cellStyle name="Monétaire [0] 4 13 2" xfId="5352" xr:uid="{E3EA5B18-9F5C-4EB1-8323-39F59D01378F}"/>
    <cellStyle name="Monétaire [0] 4 13 3" xfId="3278" xr:uid="{AC1E175B-8A27-4BC2-84D3-A49041051B02}"/>
    <cellStyle name="Monétaire [0] 4 14" xfId="1153" xr:uid="{00000000-0005-0000-0000-000080040000}"/>
    <cellStyle name="Monétaire [0] 4 14 2" xfId="5353" xr:uid="{EE107A21-F8E2-4324-A928-C2ED89D58172}"/>
    <cellStyle name="Monétaire [0] 4 14 3" xfId="3279" xr:uid="{FCDC1A6E-7648-4113-83C9-4B92B115EFC1}"/>
    <cellStyle name="Monétaire [0] 4 15" xfId="1154" xr:uid="{00000000-0005-0000-0000-000081040000}"/>
    <cellStyle name="Monétaire [0] 4 15 2" xfId="5354" xr:uid="{74270A9C-5680-46C6-8FDE-469FAA6899CC}"/>
    <cellStyle name="Monétaire [0] 4 15 3" xfId="3280" xr:uid="{CF360236-FAFA-47AD-AABB-C5ADB14D40DD}"/>
    <cellStyle name="Monétaire [0] 4 16" xfId="1155" xr:uid="{00000000-0005-0000-0000-000082040000}"/>
    <cellStyle name="Monétaire [0] 4 16 2" xfId="5355" xr:uid="{BADD3825-AE1C-49A0-8A29-9191339F4474}"/>
    <cellStyle name="Monétaire [0] 4 16 3" xfId="3281" xr:uid="{A90463D7-3255-435A-BD10-7B63D8780934}"/>
    <cellStyle name="Monétaire [0] 4 17" xfId="1156" xr:uid="{00000000-0005-0000-0000-000083040000}"/>
    <cellStyle name="Monétaire [0] 4 17 2" xfId="5356" xr:uid="{9865E8A4-8AD9-4FCE-9A85-B86769EF5633}"/>
    <cellStyle name="Monétaire [0] 4 17 3" xfId="3282" xr:uid="{291FCAEA-D0E3-4719-BD52-8BEFD0B7F7F6}"/>
    <cellStyle name="Monétaire [0] 4 18" xfId="1157" xr:uid="{00000000-0005-0000-0000-000084040000}"/>
    <cellStyle name="Monétaire [0] 4 18 2" xfId="5357" xr:uid="{6AB80D98-C6C8-44B3-978F-CAD65C3D2569}"/>
    <cellStyle name="Monétaire [0] 4 18 3" xfId="3283" xr:uid="{58B8DFD6-2EB9-4BDD-BFF6-56C9302F7F43}"/>
    <cellStyle name="Monétaire [0] 4 19" xfId="1158" xr:uid="{00000000-0005-0000-0000-000085040000}"/>
    <cellStyle name="Monétaire [0] 4 19 2" xfId="5358" xr:uid="{E533A020-CA46-4B38-A37F-BBC1A0A7534B}"/>
    <cellStyle name="Monétaire [0] 4 19 3" xfId="3284" xr:uid="{709C83B1-8FD2-46D1-A939-3F2E657D4C59}"/>
    <cellStyle name="Monétaire [0] 4 2" xfId="1159" xr:uid="{00000000-0005-0000-0000-000086040000}"/>
    <cellStyle name="Monétaire [0] 4 2 2" xfId="5359" xr:uid="{108CEE8D-A618-49E8-8730-9C4221A3CA5F}"/>
    <cellStyle name="Monétaire [0] 4 2 3" xfId="3285" xr:uid="{CACA9204-F2DC-42D3-8DF7-31F9DF1AFC30}"/>
    <cellStyle name="Monétaire [0] 4 20" xfId="1160" xr:uid="{00000000-0005-0000-0000-000087040000}"/>
    <cellStyle name="Monétaire [0] 4 20 2" xfId="5360" xr:uid="{93E94F9D-ADE1-4931-8B29-74C64D1D4B04}"/>
    <cellStyle name="Monétaire [0] 4 20 3" xfId="3286" xr:uid="{D4002F3C-186D-43B8-8F49-A1464CB91969}"/>
    <cellStyle name="Monétaire [0] 4 21" xfId="1161" xr:uid="{00000000-0005-0000-0000-000088040000}"/>
    <cellStyle name="Monétaire [0] 4 21 2" xfId="5361" xr:uid="{67E85C32-8417-43CB-8D17-619C1A31510D}"/>
    <cellStyle name="Monétaire [0] 4 21 3" xfId="3287" xr:uid="{82954F08-B438-4D2E-9CE8-DDDA4D020DC1}"/>
    <cellStyle name="Monétaire [0] 4 22" xfId="1162" xr:uid="{00000000-0005-0000-0000-000089040000}"/>
    <cellStyle name="Monétaire [0] 4 22 2" xfId="5362" xr:uid="{ABBA07C2-A853-4E22-BE7E-077016C2DAC4}"/>
    <cellStyle name="Monétaire [0] 4 22 3" xfId="3288" xr:uid="{D8F40499-43FF-4E7E-B0C3-E5E94E4E845F}"/>
    <cellStyle name="Monétaire [0] 4 23" xfId="1163" xr:uid="{00000000-0005-0000-0000-00008A040000}"/>
    <cellStyle name="Monétaire [0] 4 23 2" xfId="5363" xr:uid="{CAA9ED24-26A4-4954-A0D5-7DA350FD5499}"/>
    <cellStyle name="Monétaire [0] 4 23 3" xfId="3289" xr:uid="{28B7D091-05EF-4000-80F5-8BF2DCE93531}"/>
    <cellStyle name="Monétaire [0] 4 24" xfId="1164" xr:uid="{00000000-0005-0000-0000-00008B040000}"/>
    <cellStyle name="Monétaire [0] 4 24 2" xfId="5364" xr:uid="{59278E59-08A7-40A1-A755-95B117F45A08}"/>
    <cellStyle name="Monétaire [0] 4 24 3" xfId="3290" xr:uid="{BA5C74EF-66B1-4E06-939B-8BF4776C3A4F}"/>
    <cellStyle name="Monétaire [0] 4 25" xfId="1165" xr:uid="{00000000-0005-0000-0000-00008C040000}"/>
    <cellStyle name="Monétaire [0] 4 25 2" xfId="5365" xr:uid="{F5C85CE6-B2A4-4CB1-BDFC-3147D289D014}"/>
    <cellStyle name="Monétaire [0] 4 25 3" xfId="3291" xr:uid="{64451C78-4DAA-48FA-9375-E271423CDADD}"/>
    <cellStyle name="Monétaire [0] 4 26" xfId="1166" xr:uid="{00000000-0005-0000-0000-00008D040000}"/>
    <cellStyle name="Monétaire [0] 4 26 2" xfId="5366" xr:uid="{82E8F999-4D6F-4BED-84B0-D4B933CD282D}"/>
    <cellStyle name="Monétaire [0] 4 26 3" xfId="3292" xr:uid="{A981E82A-9754-40CE-A814-0086DEED4459}"/>
    <cellStyle name="Monétaire [0] 4 27" xfId="1167" xr:uid="{00000000-0005-0000-0000-00008E040000}"/>
    <cellStyle name="Monétaire [0] 4 27 2" xfId="5367" xr:uid="{F82EE504-4D00-4D74-AA3F-F29A2C1C1158}"/>
    <cellStyle name="Monétaire [0] 4 27 3" xfId="3293" xr:uid="{A04F550E-F8D2-48BD-B01B-48D242363701}"/>
    <cellStyle name="Monétaire [0] 4 28" xfId="1168" xr:uid="{00000000-0005-0000-0000-00008F040000}"/>
    <cellStyle name="Monétaire [0] 4 28 2" xfId="5368" xr:uid="{5D663FEB-8A5B-4DDD-A460-2609D8A06783}"/>
    <cellStyle name="Monétaire [0] 4 28 3" xfId="3294" xr:uid="{64692430-F979-4277-B816-B69CD41D54FE}"/>
    <cellStyle name="Monétaire [0] 4 29" xfId="1169" xr:uid="{00000000-0005-0000-0000-000090040000}"/>
    <cellStyle name="Monétaire [0] 4 29 2" xfId="5369" xr:uid="{0ED7BE6B-8DC7-4865-AE37-6B9349790246}"/>
    <cellStyle name="Monétaire [0] 4 29 3" xfId="3295" xr:uid="{2C1D36F6-2A72-41CC-8A60-E68FF39C1F9E}"/>
    <cellStyle name="Monétaire [0] 4 3" xfId="1170" xr:uid="{00000000-0005-0000-0000-000091040000}"/>
    <cellStyle name="Monétaire [0] 4 3 2" xfId="5370" xr:uid="{18DE98EF-1622-4591-A201-BA90A7B6495D}"/>
    <cellStyle name="Monétaire [0] 4 3 3" xfId="3296" xr:uid="{12791601-C40F-4EC8-8CE5-89DBFFDD1821}"/>
    <cellStyle name="Monétaire [0] 4 30" xfId="5348" xr:uid="{D78F0263-1795-400C-A7BD-E46DC12411EA}"/>
    <cellStyle name="Monétaire [0] 4 31" xfId="3274" xr:uid="{5C638536-8689-498D-BEC6-29A8E112D0A3}"/>
    <cellStyle name="Monétaire [0] 4 4" xfId="1171" xr:uid="{00000000-0005-0000-0000-000092040000}"/>
    <cellStyle name="Monétaire [0] 4 4 2" xfId="5371" xr:uid="{D4BE2584-3C56-4C3E-88C8-EA4F31923958}"/>
    <cellStyle name="Monétaire [0] 4 4 3" xfId="3297" xr:uid="{051C7BBF-DA17-4A3C-BCCD-ABC2AB7D9CC6}"/>
    <cellStyle name="Monétaire [0] 4 5" xfId="1172" xr:uid="{00000000-0005-0000-0000-000093040000}"/>
    <cellStyle name="Monétaire [0] 4 5 2" xfId="5372" xr:uid="{737AAC94-A67A-4757-A8FD-286A8299F00D}"/>
    <cellStyle name="Monétaire [0] 4 5 3" xfId="3298" xr:uid="{7AB457F7-AC50-4129-B464-CBA97DBD1A95}"/>
    <cellStyle name="Monétaire [0] 4 6" xfId="1173" xr:uid="{00000000-0005-0000-0000-000094040000}"/>
    <cellStyle name="Monétaire [0] 4 6 2" xfId="5373" xr:uid="{55047FAC-3D9E-4707-BBFE-95931B769B11}"/>
    <cellStyle name="Monétaire [0] 4 6 3" xfId="3299" xr:uid="{104AE230-A4E8-4727-96F9-D0B7D204B62A}"/>
    <cellStyle name="Monétaire [0] 4 7" xfId="1174" xr:uid="{00000000-0005-0000-0000-000095040000}"/>
    <cellStyle name="Monétaire [0] 4 7 2" xfId="5374" xr:uid="{AE299C52-934F-4B53-B166-4EADD82B6FD8}"/>
    <cellStyle name="Monétaire [0] 4 7 3" xfId="3300" xr:uid="{EF84E201-0C41-4014-9DBA-3CD137C8ADF1}"/>
    <cellStyle name="Monétaire [0] 4 8" xfId="1175" xr:uid="{00000000-0005-0000-0000-000096040000}"/>
    <cellStyle name="Monétaire [0] 4 8 2" xfId="5375" xr:uid="{F26323D7-8E5B-4C8C-B836-CDF288A60E5E}"/>
    <cellStyle name="Monétaire [0] 4 8 3" xfId="3301" xr:uid="{412085E7-C9AC-4225-A5BF-BEC60D704022}"/>
    <cellStyle name="Monétaire [0] 4 9" xfId="1176" xr:uid="{00000000-0005-0000-0000-000097040000}"/>
    <cellStyle name="Monétaire [0] 4 9 2" xfId="5376" xr:uid="{A0166F87-ACE3-43FA-BD6D-F79995A00CBF}"/>
    <cellStyle name="Monétaire [0] 4 9 3" xfId="3302" xr:uid="{61A721DE-3225-40B8-B8F4-B0275A9C27E5}"/>
    <cellStyle name="Monétaire [0] 5" xfId="1177" xr:uid="{00000000-0005-0000-0000-000098040000}"/>
    <cellStyle name="Monétaire [0] 5 10" xfId="1178" xr:uid="{00000000-0005-0000-0000-000099040000}"/>
    <cellStyle name="Monétaire [0] 5 10 2" xfId="5378" xr:uid="{C2704C52-7EE3-4B07-9A8A-A13B7E34CA24}"/>
    <cellStyle name="Monétaire [0] 5 10 3" xfId="3304" xr:uid="{70121BC3-D812-41F5-94E2-E9193C1D4074}"/>
    <cellStyle name="Monétaire [0] 5 11" xfId="1179" xr:uid="{00000000-0005-0000-0000-00009A040000}"/>
    <cellStyle name="Monétaire [0] 5 11 2" xfId="5379" xr:uid="{88E06B73-B5F0-4926-9375-F40E4813DEEA}"/>
    <cellStyle name="Monétaire [0] 5 11 3" xfId="3305" xr:uid="{F5C712DB-5C05-406B-896D-EBDA33F08E46}"/>
    <cellStyle name="Monétaire [0] 5 12" xfId="1180" xr:uid="{00000000-0005-0000-0000-00009B040000}"/>
    <cellStyle name="Monétaire [0] 5 12 2" xfId="5380" xr:uid="{9A3A2B9E-FB78-4398-8776-88BB4C54BC7B}"/>
    <cellStyle name="Monétaire [0] 5 12 3" xfId="3306" xr:uid="{03B3B3BA-1BF2-44A4-AE7E-AF5CE469E360}"/>
    <cellStyle name="Monétaire [0] 5 13" xfId="1181" xr:uid="{00000000-0005-0000-0000-00009C040000}"/>
    <cellStyle name="Monétaire [0] 5 13 2" xfId="5381" xr:uid="{49B84B87-5179-4627-B5AE-9BE4E6CE92F9}"/>
    <cellStyle name="Monétaire [0] 5 13 3" xfId="3307" xr:uid="{6D90C76A-FB49-4272-B019-7AD8C09F1C6D}"/>
    <cellStyle name="Monétaire [0] 5 14" xfId="1182" xr:uid="{00000000-0005-0000-0000-00009D040000}"/>
    <cellStyle name="Monétaire [0] 5 14 2" xfId="5382" xr:uid="{B50F3C6A-37A4-4934-8A4D-3B5C2343D0EE}"/>
    <cellStyle name="Monétaire [0] 5 14 3" xfId="3308" xr:uid="{F1A98CCB-52A7-4D52-AC67-619AD2789720}"/>
    <cellStyle name="Monétaire [0] 5 15" xfId="1183" xr:uid="{00000000-0005-0000-0000-00009E040000}"/>
    <cellStyle name="Monétaire [0] 5 15 2" xfId="5383" xr:uid="{F30301B0-58EF-4142-8F0F-962C0160C38D}"/>
    <cellStyle name="Monétaire [0] 5 15 3" xfId="3309" xr:uid="{43C73297-6D24-4CBE-B033-4E646C252BB7}"/>
    <cellStyle name="Monétaire [0] 5 16" xfId="1184" xr:uid="{00000000-0005-0000-0000-00009F040000}"/>
    <cellStyle name="Monétaire [0] 5 16 2" xfId="5384" xr:uid="{AC37020C-9E52-4309-86C5-B6E1ECF279DE}"/>
    <cellStyle name="Monétaire [0] 5 16 3" xfId="3310" xr:uid="{9B7A6F7B-104D-4D5B-957F-0C8E0FB27A3F}"/>
    <cellStyle name="Monétaire [0] 5 17" xfId="1185" xr:uid="{00000000-0005-0000-0000-0000A0040000}"/>
    <cellStyle name="Monétaire [0] 5 17 2" xfId="5385" xr:uid="{CFA86B7F-2EBE-413F-8588-CEE4D5B0B829}"/>
    <cellStyle name="Monétaire [0] 5 17 3" xfId="3311" xr:uid="{91EA00ED-3895-440F-8B3D-2F955843213A}"/>
    <cellStyle name="Monétaire [0] 5 18" xfId="1186" xr:uid="{00000000-0005-0000-0000-0000A1040000}"/>
    <cellStyle name="Monétaire [0] 5 18 2" xfId="5386" xr:uid="{D7968A13-6311-4ED1-8BFA-E63D2FB62094}"/>
    <cellStyle name="Monétaire [0] 5 18 3" xfId="3312" xr:uid="{20594AC9-880D-4D96-8ED6-C5DED1461B90}"/>
    <cellStyle name="Monétaire [0] 5 19" xfId="1187" xr:uid="{00000000-0005-0000-0000-0000A2040000}"/>
    <cellStyle name="Monétaire [0] 5 19 2" xfId="5387" xr:uid="{A6C7BB27-87DE-4B82-816B-4CE19D98CD0F}"/>
    <cellStyle name="Monétaire [0] 5 19 3" xfId="3313" xr:uid="{BEB3CE65-855C-461A-B6B5-F89AB3447E49}"/>
    <cellStyle name="Monétaire [0] 5 2" xfId="1188" xr:uid="{00000000-0005-0000-0000-0000A3040000}"/>
    <cellStyle name="Monétaire [0] 5 2 2" xfId="5388" xr:uid="{AD07020B-A514-4156-9C0D-E156B84EBC0F}"/>
    <cellStyle name="Monétaire [0] 5 2 3" xfId="3314" xr:uid="{5F84D695-C2B3-4EFF-8463-F8347A8C9832}"/>
    <cellStyle name="Monétaire [0] 5 20" xfId="1189" xr:uid="{00000000-0005-0000-0000-0000A4040000}"/>
    <cellStyle name="Monétaire [0] 5 20 2" xfId="5389" xr:uid="{8A13FD54-849A-443E-9002-8029FACE56C9}"/>
    <cellStyle name="Monétaire [0] 5 20 3" xfId="3315" xr:uid="{333D3878-2FD7-4A3F-A5D2-5A0B1A96F1BE}"/>
    <cellStyle name="Monétaire [0] 5 21" xfId="1190" xr:uid="{00000000-0005-0000-0000-0000A5040000}"/>
    <cellStyle name="Monétaire [0] 5 21 2" xfId="5390" xr:uid="{8AE1B23C-755E-4763-BB29-82860A52ED45}"/>
    <cellStyle name="Monétaire [0] 5 21 3" xfId="3316" xr:uid="{D053C40C-F137-4E88-87BE-968CAAF2D66C}"/>
    <cellStyle name="Monétaire [0] 5 22" xfId="1191" xr:uid="{00000000-0005-0000-0000-0000A6040000}"/>
    <cellStyle name="Monétaire [0] 5 22 2" xfId="5391" xr:uid="{211BB992-628D-4979-B231-1E57B0E139FB}"/>
    <cellStyle name="Monétaire [0] 5 22 3" xfId="3317" xr:uid="{5AD5EF47-22CA-4F12-8B66-A27F7B2D1A7F}"/>
    <cellStyle name="Monétaire [0] 5 23" xfId="1192" xr:uid="{00000000-0005-0000-0000-0000A7040000}"/>
    <cellStyle name="Monétaire [0] 5 23 2" xfId="5392" xr:uid="{B3480204-A850-40B9-9A07-6E376DE3F0E6}"/>
    <cellStyle name="Monétaire [0] 5 23 3" xfId="3318" xr:uid="{EBB133B1-6A2A-4627-82BB-67548902A0AC}"/>
    <cellStyle name="Monétaire [0] 5 24" xfId="1193" xr:uid="{00000000-0005-0000-0000-0000A8040000}"/>
    <cellStyle name="Monétaire [0] 5 24 2" xfId="5393" xr:uid="{A54D9F10-BE77-480C-A5C5-6AA813B38131}"/>
    <cellStyle name="Monétaire [0] 5 24 3" xfId="3319" xr:uid="{FD3BBA99-8AA3-4BC5-91A9-06E76ABCAC61}"/>
    <cellStyle name="Monétaire [0] 5 25" xfId="1194" xr:uid="{00000000-0005-0000-0000-0000A9040000}"/>
    <cellStyle name="Monétaire [0] 5 25 2" xfId="5394" xr:uid="{C7CD66B5-EA91-41AD-A127-FB6EE255F2E0}"/>
    <cellStyle name="Monétaire [0] 5 25 3" xfId="3320" xr:uid="{1EC0DBF6-DF2F-4FAE-87F1-5E620DCD3192}"/>
    <cellStyle name="Monétaire [0] 5 26" xfId="1195" xr:uid="{00000000-0005-0000-0000-0000AA040000}"/>
    <cellStyle name="Monétaire [0] 5 26 2" xfId="5395" xr:uid="{6A66965A-0D1D-4103-B64F-041684004994}"/>
    <cellStyle name="Monétaire [0] 5 26 3" xfId="3321" xr:uid="{B2BDBAB5-9669-4664-835C-CDBA74B4DC2D}"/>
    <cellStyle name="Monétaire [0] 5 27" xfId="1196" xr:uid="{00000000-0005-0000-0000-0000AB040000}"/>
    <cellStyle name="Monétaire [0] 5 27 2" xfId="5396" xr:uid="{6CE9F030-3BC5-492F-A24C-570CA4E9C250}"/>
    <cellStyle name="Monétaire [0] 5 27 3" xfId="3322" xr:uid="{41D8A073-D0B5-45E4-A62D-3B9436C39506}"/>
    <cellStyle name="Monétaire [0] 5 28" xfId="1197" xr:uid="{00000000-0005-0000-0000-0000AC040000}"/>
    <cellStyle name="Monétaire [0] 5 28 2" xfId="5397" xr:uid="{5BA1761B-9AF4-4CF2-9321-9BD4D6D3848F}"/>
    <cellStyle name="Monétaire [0] 5 28 3" xfId="3323" xr:uid="{D82168BD-92BA-4640-A464-F3779A6B5133}"/>
    <cellStyle name="Monétaire [0] 5 29" xfId="1198" xr:uid="{00000000-0005-0000-0000-0000AD040000}"/>
    <cellStyle name="Monétaire [0] 5 29 2" xfId="5398" xr:uid="{F72D5291-CA99-4259-8527-C16F07213AF2}"/>
    <cellStyle name="Monétaire [0] 5 29 3" xfId="3324" xr:uid="{A5250CF3-7424-4CC6-B3BF-7FC39B0E8DF4}"/>
    <cellStyle name="Monétaire [0] 5 3" xfId="1199" xr:uid="{00000000-0005-0000-0000-0000AE040000}"/>
    <cellStyle name="Monétaire [0] 5 3 2" xfId="5399" xr:uid="{F67E4C0E-1110-4A00-AF3B-47A95A418FC7}"/>
    <cellStyle name="Monétaire [0] 5 3 3" xfId="3325" xr:uid="{61584792-E53E-44F6-AE85-E92BA71259C5}"/>
    <cellStyle name="Monétaire [0] 5 30" xfId="5377" xr:uid="{DAD1EABD-3086-423F-83EE-95E2C90E864D}"/>
    <cellStyle name="Monétaire [0] 5 31" xfId="3303" xr:uid="{0C8CE4C2-870D-405D-AD05-8D789FDBB1CE}"/>
    <cellStyle name="Monétaire [0] 5 4" xfId="1200" xr:uid="{00000000-0005-0000-0000-0000AF040000}"/>
    <cellStyle name="Monétaire [0] 5 4 2" xfId="5400" xr:uid="{48B06E0D-4408-4F01-B68C-95ABB6E227D6}"/>
    <cellStyle name="Monétaire [0] 5 4 3" xfId="3326" xr:uid="{C9BE4C4A-D3F9-4F34-BDC3-06C0CCFC0762}"/>
    <cellStyle name="Monétaire [0] 5 5" xfId="1201" xr:uid="{00000000-0005-0000-0000-0000B0040000}"/>
    <cellStyle name="Monétaire [0] 5 5 2" xfId="5401" xr:uid="{BB003938-9A41-4A79-B012-93033CB37EC3}"/>
    <cellStyle name="Monétaire [0] 5 5 3" xfId="3327" xr:uid="{43C9A4D2-A52D-4AF4-B857-92AA7654770A}"/>
    <cellStyle name="Monétaire [0] 5 6" xfId="1202" xr:uid="{00000000-0005-0000-0000-0000B1040000}"/>
    <cellStyle name="Monétaire [0] 5 6 2" xfId="5402" xr:uid="{87FF60DE-EE65-4B3E-AFC9-3AB501DD3EAC}"/>
    <cellStyle name="Monétaire [0] 5 6 3" xfId="3328" xr:uid="{9956C8C4-0FF0-4E6A-AC7C-DCA91F9B60BD}"/>
    <cellStyle name="Monétaire [0] 5 7" xfId="1203" xr:uid="{00000000-0005-0000-0000-0000B2040000}"/>
    <cellStyle name="Monétaire [0] 5 7 2" xfId="5403" xr:uid="{522DF2A8-D6CD-4424-9134-74A9CE432E8F}"/>
    <cellStyle name="Monétaire [0] 5 7 3" xfId="3329" xr:uid="{5FD91B97-5A5F-4B95-AB80-5FE3AFB0A411}"/>
    <cellStyle name="Monétaire [0] 5 8" xfId="1204" xr:uid="{00000000-0005-0000-0000-0000B3040000}"/>
    <cellStyle name="Monétaire [0] 5 8 2" xfId="5404" xr:uid="{1930A011-F02F-4E61-BB98-4906E43344D2}"/>
    <cellStyle name="Monétaire [0] 5 8 3" xfId="3330" xr:uid="{331EC420-851E-4B41-9197-47D7F9C3580C}"/>
    <cellStyle name="Monétaire [0] 5 9" xfId="1205" xr:uid="{00000000-0005-0000-0000-0000B4040000}"/>
    <cellStyle name="Monétaire [0] 5 9 2" xfId="5405" xr:uid="{2E9C061A-C9FE-4574-8B6F-254A4B30F83C}"/>
    <cellStyle name="Monétaire [0] 5 9 3" xfId="3331" xr:uid="{21D005D1-0E8B-44C2-BA7C-9E77EA5B0293}"/>
    <cellStyle name="Monétaire [0] 6" xfId="1206" xr:uid="{00000000-0005-0000-0000-0000B5040000}"/>
    <cellStyle name="Monétaire [0] 6 10" xfId="1207" xr:uid="{00000000-0005-0000-0000-0000B6040000}"/>
    <cellStyle name="Monétaire [0] 6 10 2" xfId="5407" xr:uid="{83E759F0-6F8B-40A6-8C69-1E04834D1089}"/>
    <cellStyle name="Monétaire [0] 6 10 3" xfId="3333" xr:uid="{80EAC11C-936E-4B00-A862-CF4E0CF972B6}"/>
    <cellStyle name="Monétaire [0] 6 11" xfId="1208" xr:uid="{00000000-0005-0000-0000-0000B7040000}"/>
    <cellStyle name="Monétaire [0] 6 11 2" xfId="5408" xr:uid="{ACEB2459-00B1-4960-BD2D-53DD3D1BFEAE}"/>
    <cellStyle name="Monétaire [0] 6 11 3" xfId="3334" xr:uid="{06D6C12A-7ADA-4F81-A4F4-2852CB280702}"/>
    <cellStyle name="Monétaire [0] 6 12" xfId="1209" xr:uid="{00000000-0005-0000-0000-0000B8040000}"/>
    <cellStyle name="Monétaire [0] 6 12 2" xfId="5409" xr:uid="{FE945460-DE75-45AD-A289-64EFC33C3AEA}"/>
    <cellStyle name="Monétaire [0] 6 12 3" xfId="3335" xr:uid="{D631969C-88A5-4D37-A40F-A820DC25230C}"/>
    <cellStyle name="Monétaire [0] 6 13" xfId="1210" xr:uid="{00000000-0005-0000-0000-0000B9040000}"/>
    <cellStyle name="Monétaire [0] 6 13 2" xfId="5410" xr:uid="{B821A390-0F33-4D42-A972-0876A9148D86}"/>
    <cellStyle name="Monétaire [0] 6 13 3" xfId="3336" xr:uid="{B3DB667C-83BF-4685-89FA-55656E9CE787}"/>
    <cellStyle name="Monétaire [0] 6 14" xfId="1211" xr:uid="{00000000-0005-0000-0000-0000BA040000}"/>
    <cellStyle name="Monétaire [0] 6 14 2" xfId="5411" xr:uid="{3DD2BFFC-09C8-45A8-91CA-51D9878F9B58}"/>
    <cellStyle name="Monétaire [0] 6 14 3" xfId="3337" xr:uid="{C12F5111-8B39-44F2-BFCE-C7D15E22A1B7}"/>
    <cellStyle name="Monétaire [0] 6 15" xfId="1212" xr:uid="{00000000-0005-0000-0000-0000BB040000}"/>
    <cellStyle name="Monétaire [0] 6 15 2" xfId="5412" xr:uid="{5182DF1A-6088-4E21-A18F-6AA89C541EE1}"/>
    <cellStyle name="Monétaire [0] 6 15 3" xfId="3338" xr:uid="{24E4853F-520B-4A75-B175-99170E28C0AA}"/>
    <cellStyle name="Monétaire [0] 6 16" xfId="1213" xr:uid="{00000000-0005-0000-0000-0000BC040000}"/>
    <cellStyle name="Monétaire [0] 6 16 2" xfId="5413" xr:uid="{1BC112D3-B918-44D9-A574-0FBAA891345E}"/>
    <cellStyle name="Monétaire [0] 6 16 3" xfId="3339" xr:uid="{958DFB13-79A2-4AA5-BA45-B5055112A280}"/>
    <cellStyle name="Monétaire [0] 6 17" xfId="1214" xr:uid="{00000000-0005-0000-0000-0000BD040000}"/>
    <cellStyle name="Monétaire [0] 6 17 2" xfId="5414" xr:uid="{C01F3D3D-00F2-4E04-B768-59EAE68197EF}"/>
    <cellStyle name="Monétaire [0] 6 17 3" xfId="3340" xr:uid="{E6EFB34A-0623-4D34-A52C-2F797785441F}"/>
    <cellStyle name="Monétaire [0] 6 18" xfId="1215" xr:uid="{00000000-0005-0000-0000-0000BE040000}"/>
    <cellStyle name="Monétaire [0] 6 18 2" xfId="5415" xr:uid="{258518C6-1019-48DA-BEBF-6E7B785ED75C}"/>
    <cellStyle name="Monétaire [0] 6 18 3" xfId="3341" xr:uid="{2593B658-5933-4CAD-B314-40D20350CF38}"/>
    <cellStyle name="Monétaire [0] 6 19" xfId="1216" xr:uid="{00000000-0005-0000-0000-0000BF040000}"/>
    <cellStyle name="Monétaire [0] 6 19 2" xfId="5416" xr:uid="{F2B776E8-5904-40EE-AA1A-83F6FE35863C}"/>
    <cellStyle name="Monétaire [0] 6 19 3" xfId="3342" xr:uid="{2C41418C-3DAF-47B7-9DC3-3C3C91C02BC0}"/>
    <cellStyle name="Monétaire [0] 6 2" xfId="1217" xr:uid="{00000000-0005-0000-0000-0000C0040000}"/>
    <cellStyle name="Monétaire [0] 6 2 2" xfId="5417" xr:uid="{87C60EF1-5802-4EA9-A271-F096D224881D}"/>
    <cellStyle name="Monétaire [0] 6 2 3" xfId="3343" xr:uid="{C2F422E7-5EC0-489C-B516-1D51A92DA400}"/>
    <cellStyle name="Monétaire [0] 6 20" xfId="1218" xr:uid="{00000000-0005-0000-0000-0000C1040000}"/>
    <cellStyle name="Monétaire [0] 6 20 2" xfId="5418" xr:uid="{C7C71976-8BB0-4D12-A7E5-B8387C95EF7A}"/>
    <cellStyle name="Monétaire [0] 6 20 3" xfId="3344" xr:uid="{4CE0CC6E-9E41-47A6-8A19-2D69766202D5}"/>
    <cellStyle name="Monétaire [0] 6 21" xfId="1219" xr:uid="{00000000-0005-0000-0000-0000C2040000}"/>
    <cellStyle name="Monétaire [0] 6 21 2" xfId="5419" xr:uid="{9FFA2890-96AE-42D6-977C-0DEC0FB2053A}"/>
    <cellStyle name="Monétaire [0] 6 21 3" xfId="3345" xr:uid="{76D51D10-7C6E-4619-BC5C-5A0198E9CAC2}"/>
    <cellStyle name="Monétaire [0] 6 22" xfId="1220" xr:uid="{00000000-0005-0000-0000-0000C3040000}"/>
    <cellStyle name="Monétaire [0] 6 22 2" xfId="5420" xr:uid="{6ACF3F52-B7EA-4858-BDC5-824B3A818163}"/>
    <cellStyle name="Monétaire [0] 6 22 3" xfId="3346" xr:uid="{068E4DAF-C1F2-4AAE-9E52-A5E4CD3270BD}"/>
    <cellStyle name="Monétaire [0] 6 23" xfId="1221" xr:uid="{00000000-0005-0000-0000-0000C4040000}"/>
    <cellStyle name="Monétaire [0] 6 23 2" xfId="5421" xr:uid="{09C92212-EFCE-4E2C-9103-05A8C90438C5}"/>
    <cellStyle name="Monétaire [0] 6 23 3" xfId="3347" xr:uid="{C43D3650-2F52-4F5B-A234-0F8038AFC468}"/>
    <cellStyle name="Monétaire [0] 6 24" xfId="1222" xr:uid="{00000000-0005-0000-0000-0000C5040000}"/>
    <cellStyle name="Monétaire [0] 6 24 2" xfId="5422" xr:uid="{8D626BA0-175E-42B3-BF68-2E2192B4B8DF}"/>
    <cellStyle name="Monétaire [0] 6 24 3" xfId="3348" xr:uid="{3EB85F08-DBBB-414B-A895-9AEE8AD60D8D}"/>
    <cellStyle name="Monétaire [0] 6 25" xfId="1223" xr:uid="{00000000-0005-0000-0000-0000C6040000}"/>
    <cellStyle name="Monétaire [0] 6 25 2" xfId="5423" xr:uid="{9F19267F-3D79-4FE7-AC01-38E839154C04}"/>
    <cellStyle name="Monétaire [0] 6 25 3" xfId="3349" xr:uid="{2F08B22D-4181-40E9-84A3-D67ECA0034A0}"/>
    <cellStyle name="Monétaire [0] 6 26" xfId="1224" xr:uid="{00000000-0005-0000-0000-0000C7040000}"/>
    <cellStyle name="Monétaire [0] 6 26 2" xfId="5424" xr:uid="{03B0FA24-4C44-4235-979D-125480808084}"/>
    <cellStyle name="Monétaire [0] 6 26 3" xfId="3350" xr:uid="{A3E8D824-422E-4652-93B8-0F4F7C738E53}"/>
    <cellStyle name="Monétaire [0] 6 27" xfId="1225" xr:uid="{00000000-0005-0000-0000-0000C8040000}"/>
    <cellStyle name="Monétaire [0] 6 27 2" xfId="5425" xr:uid="{E35D4AFC-B487-4462-8625-33EF6D1D6EA7}"/>
    <cellStyle name="Monétaire [0] 6 27 3" xfId="3351" xr:uid="{2D0A9DC3-B44D-408F-9D95-46CCE5315937}"/>
    <cellStyle name="Monétaire [0] 6 28" xfId="1226" xr:uid="{00000000-0005-0000-0000-0000C9040000}"/>
    <cellStyle name="Monétaire [0] 6 28 2" xfId="5426" xr:uid="{E1AB1374-DED6-4DD0-82B8-A9B3EABB5C23}"/>
    <cellStyle name="Monétaire [0] 6 28 3" xfId="3352" xr:uid="{F6E3B383-676B-4F0A-A11F-1C8A76A54ABA}"/>
    <cellStyle name="Monétaire [0] 6 29" xfId="1227" xr:uid="{00000000-0005-0000-0000-0000CA040000}"/>
    <cellStyle name="Monétaire [0] 6 29 2" xfId="5427" xr:uid="{447A06D5-3E2A-412E-808E-8D018871B2AF}"/>
    <cellStyle name="Monétaire [0] 6 29 3" xfId="3353" xr:uid="{95D2986D-F6EF-4B86-B506-BF93157E7953}"/>
    <cellStyle name="Monétaire [0] 6 3" xfId="1228" xr:uid="{00000000-0005-0000-0000-0000CB040000}"/>
    <cellStyle name="Monétaire [0] 6 3 2" xfId="5428" xr:uid="{BC93C6AF-D689-4B57-8FC1-796BA6D3BC93}"/>
    <cellStyle name="Monétaire [0] 6 3 3" xfId="3354" xr:uid="{1F508AB9-2A08-46B2-9193-AC5C5913784A}"/>
    <cellStyle name="Monétaire [0] 6 30" xfId="5406" xr:uid="{FAB24EA2-9A98-4C09-AAFB-40741887E20D}"/>
    <cellStyle name="Monétaire [0] 6 31" xfId="3332" xr:uid="{FD802044-A9D5-4470-A609-02897C6C27F9}"/>
    <cellStyle name="Monétaire [0] 6 4" xfId="1229" xr:uid="{00000000-0005-0000-0000-0000CC040000}"/>
    <cellStyle name="Monétaire [0] 6 4 2" xfId="5429" xr:uid="{9263A0F2-976D-4C64-A5A0-BACC10E027BD}"/>
    <cellStyle name="Monétaire [0] 6 4 3" xfId="3355" xr:uid="{9A20108D-BF4A-4E93-B6D6-9F1192991EF8}"/>
    <cellStyle name="Monétaire [0] 6 5" xfId="1230" xr:uid="{00000000-0005-0000-0000-0000CD040000}"/>
    <cellStyle name="Monétaire [0] 6 5 2" xfId="5430" xr:uid="{A7C01194-593C-4B77-B8E7-CA2FDDAAC3E4}"/>
    <cellStyle name="Monétaire [0] 6 5 3" xfId="3356" xr:uid="{4C9165FB-AC25-4FB1-9DBB-DBF696B24EB1}"/>
    <cellStyle name="Monétaire [0] 6 6" xfId="1231" xr:uid="{00000000-0005-0000-0000-0000CE040000}"/>
    <cellStyle name="Monétaire [0] 6 6 2" xfId="5431" xr:uid="{1EA6D131-7C99-4B8B-873C-5A697F69DD75}"/>
    <cellStyle name="Monétaire [0] 6 6 3" xfId="3357" xr:uid="{54A6A35C-B6F3-4933-BD19-DD6F62071216}"/>
    <cellStyle name="Monétaire [0] 6 7" xfId="1232" xr:uid="{00000000-0005-0000-0000-0000CF040000}"/>
    <cellStyle name="Monétaire [0] 6 7 2" xfId="5432" xr:uid="{B770F346-5005-41A2-8519-B3C55279060A}"/>
    <cellStyle name="Monétaire [0] 6 7 3" xfId="3358" xr:uid="{EEEAA88C-E511-40D2-9484-C59AB82C6BF4}"/>
    <cellStyle name="Monétaire [0] 6 8" xfId="1233" xr:uid="{00000000-0005-0000-0000-0000D0040000}"/>
    <cellStyle name="Monétaire [0] 6 8 2" xfId="5433" xr:uid="{80A27542-8176-4B8F-A515-0FA9A9E49F5F}"/>
    <cellStyle name="Monétaire [0] 6 8 3" xfId="3359" xr:uid="{4059EBB2-9FF5-4970-B20C-34FAF3A235B3}"/>
    <cellStyle name="Monétaire [0] 6 9" xfId="1234" xr:uid="{00000000-0005-0000-0000-0000D1040000}"/>
    <cellStyle name="Monétaire [0] 6 9 2" xfId="5434" xr:uid="{FF81C86F-3819-4AB6-A6F5-9383C8B80975}"/>
    <cellStyle name="Monétaire [0] 6 9 3" xfId="3360" xr:uid="{5FA73C8D-085A-4A7A-B138-FEA488CBC135}"/>
    <cellStyle name="Monétaire [0] 7" xfId="5289" xr:uid="{FB1D900C-503F-4F15-AE14-CB9E59BCC645}"/>
    <cellStyle name="Monétaire [0] 8" xfId="3215" xr:uid="{900080FD-D8A1-45B3-BBEE-20250CBE9B5D}"/>
    <cellStyle name="Neutral 2" xfId="1235" xr:uid="{00000000-0005-0000-0000-0000D2040000}"/>
    <cellStyle name="Neutral 3" xfId="1236" xr:uid="{00000000-0005-0000-0000-0000D3040000}"/>
    <cellStyle name="Neutral 4" xfId="1237" xr:uid="{00000000-0005-0000-0000-0000D4040000}"/>
    <cellStyle name="Neutral 5" xfId="1238" xr:uid="{00000000-0005-0000-0000-0000D5040000}"/>
    <cellStyle name="Neutral 6" xfId="1239" xr:uid="{00000000-0005-0000-0000-0000D6040000}"/>
    <cellStyle name="no dec" xfId="1240" xr:uid="{00000000-0005-0000-0000-0000D7040000}"/>
    <cellStyle name="Normal" xfId="0" builtinId="0"/>
    <cellStyle name="Normal - Style1" xfId="1241" xr:uid="{00000000-0005-0000-0000-0000D9040000}"/>
    <cellStyle name="Normal 10" xfId="2322" xr:uid="{00000000-0005-0000-0000-0000DA040000}"/>
    <cellStyle name="Normal 11" xfId="2323" xr:uid="{00000000-0005-0000-0000-0000DB040000}"/>
    <cellStyle name="Normal 12" xfId="1" xr:uid="{00000000-0005-0000-0000-0000DC040000}"/>
    <cellStyle name="Normal 2" xfId="1242" xr:uid="{00000000-0005-0000-0000-0000DD040000}"/>
    <cellStyle name="Normal 2 10" xfId="1243" xr:uid="{00000000-0005-0000-0000-0000DE040000}"/>
    <cellStyle name="Normal 2 10 2" xfId="5436" xr:uid="{5889EE71-1E21-4B53-A655-EC19DB8C3A5F}"/>
    <cellStyle name="Normal 2 10 3" xfId="3362" xr:uid="{3A289FCA-8444-4F5A-BD9B-6E0E6E6C110B}"/>
    <cellStyle name="Normal 2 11" xfId="1244" xr:uid="{00000000-0005-0000-0000-0000DF040000}"/>
    <cellStyle name="Normal 2 11 2" xfId="5437" xr:uid="{AB8EFBA6-251E-42C9-8ED0-A094EC1ACC70}"/>
    <cellStyle name="Normal 2 11 3" xfId="3363" xr:uid="{045A799B-46B5-4A89-8983-89353BBC696F}"/>
    <cellStyle name="Normal 2 12" xfId="1245" xr:uid="{00000000-0005-0000-0000-0000E0040000}"/>
    <cellStyle name="Normal 2 12 2" xfId="5438" xr:uid="{FFFDBC7C-E0F0-4D77-AED6-6621C7FAF8EA}"/>
    <cellStyle name="Normal 2 12 3" xfId="3364" xr:uid="{555A4508-0BC7-4B2C-9388-B3FA31832C81}"/>
    <cellStyle name="Normal 2 13" xfId="1246" xr:uid="{00000000-0005-0000-0000-0000E1040000}"/>
    <cellStyle name="Normal 2 13 2" xfId="5439" xr:uid="{D3047165-78FD-4906-AECD-6D2E10F34F19}"/>
    <cellStyle name="Normal 2 13 3" xfId="3365" xr:uid="{0F2FC164-F5A3-4812-8E90-F4B852AE1D3A}"/>
    <cellStyle name="Normal 2 14" xfId="1247" xr:uid="{00000000-0005-0000-0000-0000E2040000}"/>
    <cellStyle name="Normal 2 14 2" xfId="5440" xr:uid="{7201C2A8-E215-4B9A-9633-EBF720528C73}"/>
    <cellStyle name="Normal 2 14 3" xfId="3366" xr:uid="{51DE331F-E80D-4C05-81F3-B65E977A4A4C}"/>
    <cellStyle name="Normal 2 15" xfId="1248" xr:uid="{00000000-0005-0000-0000-0000E3040000}"/>
    <cellStyle name="Normal 2 15 2" xfId="5441" xr:uid="{5E0FA7DD-BD91-46B3-977F-E29E7ABA4AF9}"/>
    <cellStyle name="Normal 2 15 3" xfId="3367" xr:uid="{A86CA120-C799-4640-BFE8-1FF10965A9AB}"/>
    <cellStyle name="Normal 2 16" xfId="1249" xr:uid="{00000000-0005-0000-0000-0000E4040000}"/>
    <cellStyle name="Normal 2 16 2" xfId="5442" xr:uid="{1B22715A-D7CB-4164-94B0-6247827D0322}"/>
    <cellStyle name="Normal 2 16 3" xfId="3368" xr:uid="{3A6AEE45-3537-4EEF-A63A-FAA415087C7C}"/>
    <cellStyle name="Normal 2 17" xfId="1250" xr:uid="{00000000-0005-0000-0000-0000E5040000}"/>
    <cellStyle name="Normal 2 17 2" xfId="5443" xr:uid="{229662E7-85A3-451A-BCAF-1243C94A2824}"/>
    <cellStyle name="Normal 2 17 3" xfId="3369" xr:uid="{B79BEB42-418E-4364-86CF-D9A808291C9D}"/>
    <cellStyle name="Normal 2 18" xfId="1251" xr:uid="{00000000-0005-0000-0000-0000E6040000}"/>
    <cellStyle name="Normal 2 18 2" xfId="5444" xr:uid="{F77927F3-55F8-415B-B9DA-8F7FB3500668}"/>
    <cellStyle name="Normal 2 18 3" xfId="3370" xr:uid="{08836024-CC3B-49B1-AB94-0ABC0749D13F}"/>
    <cellStyle name="Normal 2 19" xfId="1252" xr:uid="{00000000-0005-0000-0000-0000E7040000}"/>
    <cellStyle name="Normal 2 19 2" xfId="5445" xr:uid="{0EDBDD7D-6024-40BB-BE1F-A3E70CD69CB2}"/>
    <cellStyle name="Normal 2 19 3" xfId="3371" xr:uid="{D1CC576F-363F-430A-A73A-C1CB8CF20D5D}"/>
    <cellStyle name="Normal 2 2" xfId="1253" xr:uid="{00000000-0005-0000-0000-0000E8040000}"/>
    <cellStyle name="Normal 2 2 2" xfId="5446" xr:uid="{DC3FA177-7FA7-4853-81C1-CD2B133B36F9}"/>
    <cellStyle name="Normal 2 2 3" xfId="3372" xr:uid="{56934769-6759-4386-9A1D-A16044C46D35}"/>
    <cellStyle name="Normal 2 20" xfId="1254" xr:uid="{00000000-0005-0000-0000-0000E9040000}"/>
    <cellStyle name="Normal 2 20 2" xfId="5447" xr:uid="{A410E2B8-C961-471F-A763-B969B9D894FD}"/>
    <cellStyle name="Normal 2 20 3" xfId="3373" xr:uid="{3BD04A71-59E8-471C-B503-38C6098D42AB}"/>
    <cellStyle name="Normal 2 21" xfId="1255" xr:uid="{00000000-0005-0000-0000-0000EA040000}"/>
    <cellStyle name="Normal 2 21 2" xfId="5448" xr:uid="{C606FF16-0982-4532-B75B-F5683F4FECFA}"/>
    <cellStyle name="Normal 2 21 3" xfId="3374" xr:uid="{2A9BDEAA-A708-4578-94E3-BE0E61930EB2}"/>
    <cellStyle name="Normal 2 22" xfId="1256" xr:uid="{00000000-0005-0000-0000-0000EB040000}"/>
    <cellStyle name="Normal 2 22 2" xfId="5449" xr:uid="{304B1CFD-6F21-4E47-BC8D-B7964A08E397}"/>
    <cellStyle name="Normal 2 22 3" xfId="3375" xr:uid="{E5F52FCC-E51C-42BF-9D24-480F1B6045FB}"/>
    <cellStyle name="Normal 2 23" xfId="1257" xr:uid="{00000000-0005-0000-0000-0000EC040000}"/>
    <cellStyle name="Normal 2 23 2" xfId="5450" xr:uid="{48BE1B08-A2DE-49CE-9E43-091F8B3F856D}"/>
    <cellStyle name="Normal 2 23 3" xfId="3376" xr:uid="{25D55122-F750-48E2-B165-47024D5BB82A}"/>
    <cellStyle name="Normal 2 24" xfId="1258" xr:uid="{00000000-0005-0000-0000-0000ED040000}"/>
    <cellStyle name="Normal 2 24 2" xfId="5451" xr:uid="{28B6E3C0-800A-4451-8863-D98D8A880CB8}"/>
    <cellStyle name="Normal 2 24 3" xfId="3377" xr:uid="{E6C12B8F-ED08-4F2E-B967-9549F9A5726E}"/>
    <cellStyle name="Normal 2 25" xfId="1259" xr:uid="{00000000-0005-0000-0000-0000EE040000}"/>
    <cellStyle name="Normal 2 25 2" xfId="5452" xr:uid="{687BF7C9-B857-4341-A09F-D12127621621}"/>
    <cellStyle name="Normal 2 25 3" xfId="3378" xr:uid="{7C0D02C3-F44A-4699-BF97-ADCFA9DCCE7E}"/>
    <cellStyle name="Normal 2 26" xfId="1260" xr:uid="{00000000-0005-0000-0000-0000EF040000}"/>
    <cellStyle name="Normal 2 26 2" xfId="5453" xr:uid="{0F6504A5-6E1C-4716-BF0E-0C9E5E0CDD61}"/>
    <cellStyle name="Normal 2 26 3" xfId="3379" xr:uid="{B0F0CAE7-628B-417E-A30A-433B84A99FCC}"/>
    <cellStyle name="Normal 2 27" xfId="1261" xr:uid="{00000000-0005-0000-0000-0000F0040000}"/>
    <cellStyle name="Normal 2 27 2" xfId="5454" xr:uid="{6BF1AD76-5E3A-4A0C-A3E6-03204215C58C}"/>
    <cellStyle name="Normal 2 27 3" xfId="3380" xr:uid="{392E9D0A-D4C7-440B-AD7D-1BB24FA0268F}"/>
    <cellStyle name="Normal 2 28" xfId="1262" xr:uid="{00000000-0005-0000-0000-0000F1040000}"/>
    <cellStyle name="Normal 2 28 2" xfId="5455" xr:uid="{24C0DAF5-1355-49AA-81C5-9C6953F1AFC0}"/>
    <cellStyle name="Normal 2 28 3" xfId="3381" xr:uid="{663539EF-4278-4B62-A376-4E9DFA106CB5}"/>
    <cellStyle name="Normal 2 29" xfId="1263" xr:uid="{00000000-0005-0000-0000-0000F2040000}"/>
    <cellStyle name="Normal 2 29 2" xfId="5456" xr:uid="{01A1E588-2021-4824-AD60-B946BB5D3DF3}"/>
    <cellStyle name="Normal 2 29 3" xfId="3382" xr:uid="{11947B08-B28C-4CAD-AE50-B802E7BFDE87}"/>
    <cellStyle name="Normal 2 3" xfId="1264" xr:uid="{00000000-0005-0000-0000-0000F3040000}"/>
    <cellStyle name="Normal 2 3 2" xfId="5457" xr:uid="{010049DF-5CF1-4094-ABAB-72C1CB12D8A9}"/>
    <cellStyle name="Normal 2 3 3" xfId="3383" xr:uid="{B034B17B-A4C3-481D-B33D-D6A8805DE4F1}"/>
    <cellStyle name="Normal 2 30" xfId="1265" xr:uid="{00000000-0005-0000-0000-0000F4040000}"/>
    <cellStyle name="Normal 2 30 2" xfId="5458" xr:uid="{45C73DC7-7756-4EF0-B49B-987CB9154BB1}"/>
    <cellStyle name="Normal 2 30 3" xfId="3384" xr:uid="{541E0C76-1B22-4215-AF6D-4ECF1FBA4AE5}"/>
    <cellStyle name="Normal 2 31" xfId="1266" xr:uid="{00000000-0005-0000-0000-0000F5040000}"/>
    <cellStyle name="Normal 2 31 2" xfId="5459" xr:uid="{28126263-A45F-41A3-BBE6-ED6C5C89235A}"/>
    <cellStyle name="Normal 2 31 3" xfId="3385" xr:uid="{CD0B5D6D-26DE-4CEE-B43A-48CD99547A74}"/>
    <cellStyle name="Normal 2 32" xfId="1267" xr:uid="{00000000-0005-0000-0000-0000F6040000}"/>
    <cellStyle name="Normal 2 32 2" xfId="5460" xr:uid="{C3034688-38CC-4BF9-9F3F-B91D2C760EC4}"/>
    <cellStyle name="Normal 2 32 3" xfId="3386" xr:uid="{CEEEA566-C823-4315-9E8C-E43AA1A0C6ED}"/>
    <cellStyle name="Normal 2 33" xfId="1268" xr:uid="{00000000-0005-0000-0000-0000F7040000}"/>
    <cellStyle name="Normal 2 33 2" xfId="5461" xr:uid="{64BA5129-1583-4423-8DCA-173B5CDD7211}"/>
    <cellStyle name="Normal 2 33 3" xfId="3387" xr:uid="{E453442E-BD11-46BA-B95E-D2F6AF5F048E}"/>
    <cellStyle name="Normal 2 34" xfId="1269" xr:uid="{00000000-0005-0000-0000-0000F8040000}"/>
    <cellStyle name="Normal 2 34 2" xfId="5462" xr:uid="{6B05A1D2-3527-4A19-A17C-F20381AD46A9}"/>
    <cellStyle name="Normal 2 34 3" xfId="3388" xr:uid="{A8F43A0B-499F-4785-902A-39326D6CE080}"/>
    <cellStyle name="Normal 2 35" xfId="1270" xr:uid="{00000000-0005-0000-0000-0000F9040000}"/>
    <cellStyle name="Normal 2 35 2" xfId="5463" xr:uid="{AF47EE4A-9E81-4E32-8A5E-D9B2CB31741C}"/>
    <cellStyle name="Normal 2 35 3" xfId="3389" xr:uid="{68BC6943-1D73-4841-A656-0CC3C43C4F38}"/>
    <cellStyle name="Normal 2 36" xfId="1271" xr:uid="{00000000-0005-0000-0000-0000FA040000}"/>
    <cellStyle name="Normal 2 36 2" xfId="5464" xr:uid="{718246BF-EAE9-4545-9CDF-690686101137}"/>
    <cellStyle name="Normal 2 36 3" xfId="3390" xr:uid="{3EB87745-4173-40C7-A051-D58E6AC6475C}"/>
    <cellStyle name="Normal 2 37" xfId="1272" xr:uid="{00000000-0005-0000-0000-0000FB040000}"/>
    <cellStyle name="Normal 2 37 2" xfId="5465" xr:uid="{0B6BE620-8B1A-4357-8108-D5AF9A208C50}"/>
    <cellStyle name="Normal 2 37 3" xfId="3391" xr:uid="{890D2486-39D4-4F0F-B072-D883BE03EBAE}"/>
    <cellStyle name="Normal 2 38" xfId="1273" xr:uid="{00000000-0005-0000-0000-0000FC040000}"/>
    <cellStyle name="Normal 2 38 2" xfId="5466" xr:uid="{69C11DB3-B031-4FA2-BE0F-0671524FA277}"/>
    <cellStyle name="Normal 2 38 3" xfId="3392" xr:uid="{AC7440E6-0AA3-4B87-B6A3-B6DF8F0A1622}"/>
    <cellStyle name="Normal 2 39" xfId="1274" xr:uid="{00000000-0005-0000-0000-0000FD040000}"/>
    <cellStyle name="Normal 2 39 2" xfId="5467" xr:uid="{909D1A58-01EB-4713-AD50-3E1D6A102B06}"/>
    <cellStyle name="Normal 2 39 3" xfId="3393" xr:uid="{B8DBBCF1-47AE-4E9A-AD28-19D9976698CD}"/>
    <cellStyle name="Normal 2 4" xfId="1275" xr:uid="{00000000-0005-0000-0000-0000FE040000}"/>
    <cellStyle name="Normal 2 4 2" xfId="5468" xr:uid="{2E201CF3-162E-4236-B0D7-2435B3B2846F}"/>
    <cellStyle name="Normal 2 4 3" xfId="3394" xr:uid="{CBD095C0-6FE6-4A71-A6BC-1DC91535AE38}"/>
    <cellStyle name="Normal 2 40" xfId="1276" xr:uid="{00000000-0005-0000-0000-0000FF040000}"/>
    <cellStyle name="Normal 2 40 2" xfId="5469" xr:uid="{D39D27C7-3AC8-4F0B-841A-8AB0A8DC9604}"/>
    <cellStyle name="Normal 2 40 3" xfId="3395" xr:uid="{968A6196-A74F-41CB-AF44-70B3852EE3B3}"/>
    <cellStyle name="Normal 2 41" xfId="1277" xr:uid="{00000000-0005-0000-0000-000000050000}"/>
    <cellStyle name="Normal 2 41 2" xfId="5470" xr:uid="{21E636FF-3316-41BF-BD99-8B671BF22E55}"/>
    <cellStyle name="Normal 2 41 3" xfId="3396" xr:uid="{FE8862A0-67AF-4070-8625-8889C6F20941}"/>
    <cellStyle name="Normal 2 42" xfId="1278" xr:uid="{00000000-0005-0000-0000-000001050000}"/>
    <cellStyle name="Normal 2 42 2" xfId="5471" xr:uid="{BD027D30-49A6-47A5-98B4-15C7DEA153A4}"/>
    <cellStyle name="Normal 2 42 3" xfId="3397" xr:uid="{41418CC5-468D-482C-80EB-73B7FB392482}"/>
    <cellStyle name="Normal 2 43" xfId="1279" xr:uid="{00000000-0005-0000-0000-000002050000}"/>
    <cellStyle name="Normal 2 43 2" xfId="5472" xr:uid="{CA6795B4-A75F-4697-993F-940C0FDF5D0E}"/>
    <cellStyle name="Normal 2 43 3" xfId="3398" xr:uid="{BFF9A81A-B055-4198-9A0B-FE2DF31AAB0C}"/>
    <cellStyle name="Normal 2 44" xfId="1280" xr:uid="{00000000-0005-0000-0000-000003050000}"/>
    <cellStyle name="Normal 2 44 2" xfId="5473" xr:uid="{387A23DF-EB32-474F-9291-727B2183FCAE}"/>
    <cellStyle name="Normal 2 44 3" xfId="3399" xr:uid="{2163F8A9-BF34-4B09-92B3-7BA09CAF4DF9}"/>
    <cellStyle name="Normal 2 45" xfId="1281" xr:uid="{00000000-0005-0000-0000-000004050000}"/>
    <cellStyle name="Normal 2 45 2" xfId="5474" xr:uid="{841BE3F6-4CA9-4498-9D13-D97AB78A0C03}"/>
    <cellStyle name="Normal 2 45 3" xfId="3400" xr:uid="{85E64593-E7E1-4683-A85D-BC19496C6F78}"/>
    <cellStyle name="Normal 2 46" xfId="1282" xr:uid="{00000000-0005-0000-0000-000005050000}"/>
    <cellStyle name="Normal 2 46 2" xfId="5475" xr:uid="{EADF84A8-9C0F-4183-930C-77E37BC777DE}"/>
    <cellStyle name="Normal 2 46 3" xfId="3401" xr:uid="{9DE8472C-151D-4876-8012-3A711FB95BD7}"/>
    <cellStyle name="Normal 2 47" xfId="1283" xr:uid="{00000000-0005-0000-0000-000006050000}"/>
    <cellStyle name="Normal 2 47 2" xfId="5476" xr:uid="{CCA90E2A-FE91-44A0-ABE4-6AFF4473C3D2}"/>
    <cellStyle name="Normal 2 47 3" xfId="3402" xr:uid="{1BA7131F-2FBD-4F76-843D-FB7F0B7294C6}"/>
    <cellStyle name="Normal 2 48" xfId="2325" xr:uid="{00000000-0005-0000-0000-000007050000}"/>
    <cellStyle name="Normal 2 49" xfId="5435" xr:uid="{85523E0F-70BC-4678-8EB0-382BF3D43A4E}"/>
    <cellStyle name="Normal 2 5" xfId="1284" xr:uid="{00000000-0005-0000-0000-000008050000}"/>
    <cellStyle name="Normal 2 5 2" xfId="5477" xr:uid="{75FAC6CC-FF8A-45DD-A58A-2CA9629FFF05}"/>
    <cellStyle name="Normal 2 5 3" xfId="3403" xr:uid="{755AF967-C945-454E-B701-8BBC4B0ADF4E}"/>
    <cellStyle name="Normal 2 50" xfId="3361" xr:uid="{3CAB4733-B824-4454-9FB7-AB20F8FF2FCC}"/>
    <cellStyle name="Normal 2 6" xfId="1285" xr:uid="{00000000-0005-0000-0000-000009050000}"/>
    <cellStyle name="Normal 2 6 2" xfId="5478" xr:uid="{635DE307-BA64-4BC8-9A4B-C2BC151C5ECB}"/>
    <cellStyle name="Normal 2 6 3" xfId="3404" xr:uid="{A74E5DCC-0BBC-4E6C-A89E-E166224E6190}"/>
    <cellStyle name="Normal 2 7" xfId="1286" xr:uid="{00000000-0005-0000-0000-00000A050000}"/>
    <cellStyle name="Normal 2 7 2" xfId="5479" xr:uid="{D5431934-B1AB-458E-84F2-6D8808B9DA57}"/>
    <cellStyle name="Normal 2 7 3" xfId="3405" xr:uid="{352E4886-0FC1-40DA-A9FD-906A6E2B89D2}"/>
    <cellStyle name="Normal 2 8" xfId="1287" xr:uid="{00000000-0005-0000-0000-00000B050000}"/>
    <cellStyle name="Normal 2 8 2" xfId="5480" xr:uid="{4C292C9B-DFB5-45B2-AB36-4CF781EAB4A7}"/>
    <cellStyle name="Normal 2 8 3" xfId="3406" xr:uid="{C4C961B3-9BA8-449D-B342-0804634D03B9}"/>
    <cellStyle name="Normal 2 9" xfId="1288" xr:uid="{00000000-0005-0000-0000-00000C050000}"/>
    <cellStyle name="Normal 2 9 2" xfId="5481" xr:uid="{3A9C6C45-9444-4EDD-A1CB-5222AB591D2D}"/>
    <cellStyle name="Normal 2 9 3" xfId="3407" xr:uid="{42FEEDF5-3CAE-4105-A107-E8C5CAE8361C}"/>
    <cellStyle name="Normal 3" xfId="2318" xr:uid="{00000000-0005-0000-0000-00000D050000}"/>
    <cellStyle name="Normal 3 10" xfId="1289" xr:uid="{00000000-0005-0000-0000-00000E050000}"/>
    <cellStyle name="Normal 3 10 2" xfId="5482" xr:uid="{578DA225-1902-41B5-AFBC-2834A1065AEC}"/>
    <cellStyle name="Normal 3 10 3" xfId="3408" xr:uid="{A28F6EDF-12A4-4C00-86B2-57A6B7AE79D0}"/>
    <cellStyle name="Normal 3 11" xfId="1290" xr:uid="{00000000-0005-0000-0000-00000F050000}"/>
    <cellStyle name="Normal 3 11 2" xfId="5483" xr:uid="{0086CADD-54B3-4644-A27D-53864B652312}"/>
    <cellStyle name="Normal 3 11 3" xfId="3409" xr:uid="{E8D182D1-F18A-4BE6-9656-A5F759E4BB7A}"/>
    <cellStyle name="Normal 3 12" xfId="1291" xr:uid="{00000000-0005-0000-0000-000010050000}"/>
    <cellStyle name="Normal 3 12 2" xfId="5484" xr:uid="{38C31B8E-463C-4631-A719-0B84824AA23F}"/>
    <cellStyle name="Normal 3 12 3" xfId="3410" xr:uid="{35A7AE00-6BA3-4861-812B-F8E10069133C}"/>
    <cellStyle name="Normal 3 13" xfId="1292" xr:uid="{00000000-0005-0000-0000-000011050000}"/>
    <cellStyle name="Normal 3 13 2" xfId="5485" xr:uid="{D8084094-A214-42F0-BCCA-4AD04CFA9D5F}"/>
    <cellStyle name="Normal 3 13 3" xfId="3411" xr:uid="{6CBFB517-CFE6-4B7D-BDE2-3F7C78F5E944}"/>
    <cellStyle name="Normal 3 14" xfId="1293" xr:uid="{00000000-0005-0000-0000-000012050000}"/>
    <cellStyle name="Normal 3 14 2" xfId="5486" xr:uid="{B8F19D74-A973-4471-9F86-145FFA21700A}"/>
    <cellStyle name="Normal 3 14 3" xfId="3412" xr:uid="{7AE647A0-9551-4A0E-8C2C-1AA05AB50807}"/>
    <cellStyle name="Normal 3 15" xfId="1294" xr:uid="{00000000-0005-0000-0000-000013050000}"/>
    <cellStyle name="Normal 3 15 2" xfId="5487" xr:uid="{46F33399-A7D9-41CF-9C5C-40B585147069}"/>
    <cellStyle name="Normal 3 15 3" xfId="3413" xr:uid="{199A5C22-2B89-4E9F-AC54-528DA16A01FA}"/>
    <cellStyle name="Normal 3 16" xfId="1295" xr:uid="{00000000-0005-0000-0000-000014050000}"/>
    <cellStyle name="Normal 3 16 2" xfId="5488" xr:uid="{51FA84F7-7839-413F-9B63-2A2214B968EE}"/>
    <cellStyle name="Normal 3 16 3" xfId="3414" xr:uid="{72C1784D-0C64-4D16-B267-1083C0A70174}"/>
    <cellStyle name="Normal 3 17" xfId="1296" xr:uid="{00000000-0005-0000-0000-000015050000}"/>
    <cellStyle name="Normal 3 17 2" xfId="5489" xr:uid="{9A7AB190-8038-47B7-A849-FCF9DF995F41}"/>
    <cellStyle name="Normal 3 17 3" xfId="3415" xr:uid="{BD79AE06-9289-4FB7-ACB1-17F7ADE118BB}"/>
    <cellStyle name="Normal 3 18" xfId="1297" xr:uid="{00000000-0005-0000-0000-000016050000}"/>
    <cellStyle name="Normal 3 18 2" xfId="5490" xr:uid="{A32F0065-3A88-4BB7-B48B-D65AD4AFC919}"/>
    <cellStyle name="Normal 3 18 3" xfId="3416" xr:uid="{A2C72D66-B9AA-443E-8693-0986D6E3CFC0}"/>
    <cellStyle name="Normal 3 19" xfId="1298" xr:uid="{00000000-0005-0000-0000-000017050000}"/>
    <cellStyle name="Normal 3 19 2" xfId="5491" xr:uid="{7B7EF027-52C2-4A40-9A87-00FFB4442102}"/>
    <cellStyle name="Normal 3 19 3" xfId="3417" xr:uid="{F5F96367-5603-4726-92F0-3F134CDA06C0}"/>
    <cellStyle name="Normal 3 2" xfId="1299" xr:uid="{00000000-0005-0000-0000-000018050000}"/>
    <cellStyle name="Normal 3 2 2" xfId="5492" xr:uid="{64112BD6-9026-45E1-9F34-5C2AF75BDC41}"/>
    <cellStyle name="Normal 3 2 3" xfId="3418" xr:uid="{417B26BA-9FF9-4FDE-A077-9804129EF5C7}"/>
    <cellStyle name="Normal 3 20" xfId="1300" xr:uid="{00000000-0005-0000-0000-000019050000}"/>
    <cellStyle name="Normal 3 20 2" xfId="5493" xr:uid="{A326AC5F-4935-4F5A-8EC2-AFCE7BB021FC}"/>
    <cellStyle name="Normal 3 20 3" xfId="3419" xr:uid="{9057F2C6-F77F-4031-9535-C3D737FFC026}"/>
    <cellStyle name="Normal 3 21" xfId="1301" xr:uid="{00000000-0005-0000-0000-00001A050000}"/>
    <cellStyle name="Normal 3 21 2" xfId="5494" xr:uid="{B793D39A-842E-4FCE-B04D-E19360F9EB02}"/>
    <cellStyle name="Normal 3 21 3" xfId="3420" xr:uid="{BF0651A3-ED0E-4FE6-9281-ED18DEAFA348}"/>
    <cellStyle name="Normal 3 22" xfId="1302" xr:uid="{00000000-0005-0000-0000-00001B050000}"/>
    <cellStyle name="Normal 3 22 2" xfId="5495" xr:uid="{FB844670-18B9-4350-83A8-C24D6A77E6BE}"/>
    <cellStyle name="Normal 3 22 3" xfId="3421" xr:uid="{20799B4F-A892-464C-A2F4-4FD904AAC80A}"/>
    <cellStyle name="Normal 3 23" xfId="1303" xr:uid="{00000000-0005-0000-0000-00001C050000}"/>
    <cellStyle name="Normal 3 23 2" xfId="5496" xr:uid="{4498741F-66F9-498D-BE44-B80049711226}"/>
    <cellStyle name="Normal 3 23 3" xfId="3422" xr:uid="{3AF1CEF7-80A5-4E32-8F9D-1749AB3C6160}"/>
    <cellStyle name="Normal 3 24" xfId="1304" xr:uid="{00000000-0005-0000-0000-00001D050000}"/>
    <cellStyle name="Normal 3 24 2" xfId="5497" xr:uid="{3FEBFCCF-BC67-46FC-B40B-3AE68E01669B}"/>
    <cellStyle name="Normal 3 24 3" xfId="3423" xr:uid="{A95EE8B0-F2E4-486E-A3CA-E4869B08ED30}"/>
    <cellStyle name="Normal 3 25" xfId="1305" xr:uid="{00000000-0005-0000-0000-00001E050000}"/>
    <cellStyle name="Normal 3 25 2" xfId="5498" xr:uid="{1CDB2F64-9B41-4DA6-B62A-55272DCB5ECF}"/>
    <cellStyle name="Normal 3 25 3" xfId="3424" xr:uid="{3054A6D4-D3DE-4A25-ACED-1DF24D379F1E}"/>
    <cellStyle name="Normal 3 26" xfId="1306" xr:uid="{00000000-0005-0000-0000-00001F050000}"/>
    <cellStyle name="Normal 3 26 2" xfId="5499" xr:uid="{F330A4BD-E456-48AC-975E-98C3430E0A72}"/>
    <cellStyle name="Normal 3 26 3" xfId="3425" xr:uid="{EA5C5287-8A17-41A7-8FD4-14DD0707FCA6}"/>
    <cellStyle name="Normal 3 27" xfId="1307" xr:uid="{00000000-0005-0000-0000-000020050000}"/>
    <cellStyle name="Normal 3 27 2" xfId="5500" xr:uid="{904701BB-AB3B-40C5-89EE-549CBEC5EA51}"/>
    <cellStyle name="Normal 3 27 3" xfId="3426" xr:uid="{D7EFF2F2-0B6B-45DA-8F82-863F28D0C5F4}"/>
    <cellStyle name="Normal 3 28" xfId="1308" xr:uid="{00000000-0005-0000-0000-000021050000}"/>
    <cellStyle name="Normal 3 28 2" xfId="5501" xr:uid="{3699EBF8-00C9-401B-91E7-0E6F941779DC}"/>
    <cellStyle name="Normal 3 28 3" xfId="3427" xr:uid="{35326160-D051-4980-8B9E-BCC989E2E286}"/>
    <cellStyle name="Normal 3 29" xfId="1309" xr:uid="{00000000-0005-0000-0000-000022050000}"/>
    <cellStyle name="Normal 3 29 2" xfId="5502" xr:uid="{F82C320F-B890-45B3-A795-552CA021B97D}"/>
    <cellStyle name="Normal 3 29 3" xfId="3428" xr:uid="{8017E485-CB56-4F38-8B1F-6C21408A0A81}"/>
    <cellStyle name="Normal 3 3" xfId="1310" xr:uid="{00000000-0005-0000-0000-000023050000}"/>
    <cellStyle name="Normal 3 3 2" xfId="5503" xr:uid="{2523E757-0690-47DE-AE8C-A2C0EA2FE2A9}"/>
    <cellStyle name="Normal 3 3 3" xfId="3429" xr:uid="{FB3FBE0C-B1D0-4FEF-9D08-50B4FAE07018}"/>
    <cellStyle name="Normal 3 4" xfId="1311" xr:uid="{00000000-0005-0000-0000-000024050000}"/>
    <cellStyle name="Normal 3 4 2" xfId="5504" xr:uid="{470BE358-455A-4C91-B5DA-3F5AC1CF23B3}"/>
    <cellStyle name="Normal 3 4 3" xfId="3430" xr:uid="{CCBE99D6-ED13-4BA5-937C-0D44E70FD618}"/>
    <cellStyle name="Normal 3 5" xfId="1312" xr:uid="{00000000-0005-0000-0000-000025050000}"/>
    <cellStyle name="Normal 3 5 2" xfId="5505" xr:uid="{2BE36414-A9C8-4A27-9684-5E4C11843BFE}"/>
    <cellStyle name="Normal 3 5 3" xfId="3431" xr:uid="{86E630DB-A5E6-44C2-9071-2724668E4C4B}"/>
    <cellStyle name="Normal 3 6" xfId="1313" xr:uid="{00000000-0005-0000-0000-000026050000}"/>
    <cellStyle name="Normal 3 6 2" xfId="5506" xr:uid="{7FB18B29-1E88-4CB5-A38C-57540C2701A0}"/>
    <cellStyle name="Normal 3 6 3" xfId="3432" xr:uid="{E7E88391-5289-4A03-87CF-F61A8B834EA9}"/>
    <cellStyle name="Normal 3 7" xfId="1314" xr:uid="{00000000-0005-0000-0000-000027050000}"/>
    <cellStyle name="Normal 3 7 2" xfId="5507" xr:uid="{8951065C-307A-4CA7-B64C-C55D9635D2F1}"/>
    <cellStyle name="Normal 3 7 3" xfId="3433" xr:uid="{CB3EC4FD-DC6D-46CC-8B33-1952C6A6679F}"/>
    <cellStyle name="Normal 3 8" xfId="1315" xr:uid="{00000000-0005-0000-0000-000028050000}"/>
    <cellStyle name="Normal 3 8 2" xfId="5508" xr:uid="{FBE76EBC-A7BC-45E1-8213-ABC587154156}"/>
    <cellStyle name="Normal 3 8 3" xfId="3434" xr:uid="{1815CC87-B033-447E-B48E-97309A34C7D3}"/>
    <cellStyle name="Normal 3 9" xfId="1316" xr:uid="{00000000-0005-0000-0000-000029050000}"/>
    <cellStyle name="Normal 3 9 2" xfId="5509" xr:uid="{00E80735-8C9D-4D44-A102-84C266AA76C8}"/>
    <cellStyle name="Normal 3 9 3" xfId="3435" xr:uid="{6DAB60F7-E807-47D4-A264-EE9A02E80B69}"/>
    <cellStyle name="Normal 4" xfId="1317" xr:uid="{00000000-0005-0000-0000-00002A050000}"/>
    <cellStyle name="Normal 4 2" xfId="1318" xr:uid="{00000000-0005-0000-0000-00002B050000}"/>
    <cellStyle name="Normal 4 2 2" xfId="5511" xr:uid="{E0BDA175-8037-458B-9DED-73B835AC17F5}"/>
    <cellStyle name="Normal 4 2 3" xfId="3437" xr:uid="{E608B6A8-3928-41B6-A83B-3C878BF947C4}"/>
    <cellStyle name="Normal 4 3" xfId="1319" xr:uid="{00000000-0005-0000-0000-00002C050000}"/>
    <cellStyle name="Normal 4 3 2" xfId="5512" xr:uid="{B92A008C-53C3-4CB0-9475-1FAD27C9B8D6}"/>
    <cellStyle name="Normal 4 3 3" xfId="3438" xr:uid="{E3449C06-394F-42B6-9854-7BCE3778BD8B}"/>
    <cellStyle name="Normal 4 4" xfId="1320" xr:uid="{00000000-0005-0000-0000-00002D050000}"/>
    <cellStyle name="Normal 4 4 2" xfId="5513" xr:uid="{3E1B78E6-0EC8-4E9E-BC09-4A4D6570F62F}"/>
    <cellStyle name="Normal 4 4 3" xfId="3439" xr:uid="{8F1D3643-A87B-457A-8302-09A93FF43BF8}"/>
    <cellStyle name="Normal 4 5" xfId="5510" xr:uid="{EE35DEC1-C284-4943-B70E-B668CE1EDA94}"/>
    <cellStyle name="Normal 4 6" xfId="3436" xr:uid="{2D9E0C79-BBD6-4F31-B12D-4A36EE531F6D}"/>
    <cellStyle name="Normal 5" xfId="2319" xr:uid="{00000000-0005-0000-0000-00002E050000}"/>
    <cellStyle name="Normal 6" xfId="1321" xr:uid="{00000000-0005-0000-0000-00002F050000}"/>
    <cellStyle name="Normal 6 2" xfId="5514" xr:uid="{CEC2A8E2-CC40-4FCE-A6EC-06D4073396F5}"/>
    <cellStyle name="Normal 6 3" xfId="3440" xr:uid="{7AA8F1AF-9FA7-45C0-9143-233AD116C636}"/>
    <cellStyle name="Normal 7" xfId="2320" xr:uid="{00000000-0005-0000-0000-000030050000}"/>
    <cellStyle name="Normal 8" xfId="2321" xr:uid="{00000000-0005-0000-0000-000031050000}"/>
    <cellStyle name="Normal 9" xfId="2317" xr:uid="{00000000-0005-0000-0000-000032050000}"/>
    <cellStyle name="Normal 9 2" xfId="6474" xr:uid="{5CEDB0AB-5D14-4B38-BD24-07A340E28280}"/>
    <cellStyle name="Normal 9 3" xfId="4400" xr:uid="{4FE9C4DF-CD16-4857-ABF9-674BCA74B517}"/>
    <cellStyle name="Note 2" xfId="1322" xr:uid="{00000000-0005-0000-0000-000033050000}"/>
    <cellStyle name="Note 2 10" xfId="1323" xr:uid="{00000000-0005-0000-0000-000034050000}"/>
    <cellStyle name="Note 2 10 2" xfId="5516" xr:uid="{FC4FA43F-C29D-4BE1-B6F7-260F9F38AEF0}"/>
    <cellStyle name="Note 2 10 3" xfId="3442" xr:uid="{C1E1B76B-6C6B-4E3C-B75B-41E2A1DB7112}"/>
    <cellStyle name="Note 2 11" xfId="1324" xr:uid="{00000000-0005-0000-0000-000035050000}"/>
    <cellStyle name="Note 2 11 2" xfId="5517" xr:uid="{C1C7E05D-0567-48E7-92D6-BCB8C497E48E}"/>
    <cellStyle name="Note 2 11 3" xfId="3443" xr:uid="{38098211-EB67-4D2F-A9E5-FC9CDCCD68B0}"/>
    <cellStyle name="Note 2 12" xfId="1325" xr:uid="{00000000-0005-0000-0000-000036050000}"/>
    <cellStyle name="Note 2 12 2" xfId="5518" xr:uid="{BA2E849D-38B6-4EC2-9D81-608297B63B56}"/>
    <cellStyle name="Note 2 12 3" xfId="3444" xr:uid="{F48C12E1-0BFA-45D7-BCEC-86F3F55350F4}"/>
    <cellStyle name="Note 2 13" xfId="1326" xr:uid="{00000000-0005-0000-0000-000037050000}"/>
    <cellStyle name="Note 2 13 2" xfId="5519" xr:uid="{C9538C16-0D4B-4D31-B1F1-4848A289CD5E}"/>
    <cellStyle name="Note 2 13 3" xfId="3445" xr:uid="{690F5A71-52F4-41EC-81D1-A4F621FCC93D}"/>
    <cellStyle name="Note 2 14" xfId="1327" xr:uid="{00000000-0005-0000-0000-000038050000}"/>
    <cellStyle name="Note 2 14 2" xfId="5520" xr:uid="{A5D0FE24-5FB3-44AA-91A2-97BEF0179DFB}"/>
    <cellStyle name="Note 2 14 3" xfId="3446" xr:uid="{F76244A4-3030-41F1-810E-FC0E389BB01F}"/>
    <cellStyle name="Note 2 15" xfId="1328" xr:uid="{00000000-0005-0000-0000-000039050000}"/>
    <cellStyle name="Note 2 15 2" xfId="5521" xr:uid="{D73CC7E0-9153-452A-B4E3-784996F714F0}"/>
    <cellStyle name="Note 2 15 3" xfId="3447" xr:uid="{9D358697-AEB5-43FB-B10C-AC957B848BDC}"/>
    <cellStyle name="Note 2 16" xfId="1329" xr:uid="{00000000-0005-0000-0000-00003A050000}"/>
    <cellStyle name="Note 2 16 2" xfId="5522" xr:uid="{1782814D-57E2-45EB-A270-09611FD1AD07}"/>
    <cellStyle name="Note 2 16 3" xfId="3448" xr:uid="{1C22316C-33FF-44D2-907B-679788DFE384}"/>
    <cellStyle name="Note 2 17" xfId="1330" xr:uid="{00000000-0005-0000-0000-00003B050000}"/>
    <cellStyle name="Note 2 17 2" xfId="5523" xr:uid="{12AFF62D-53A2-4A87-9424-3A8354B4779A}"/>
    <cellStyle name="Note 2 17 3" xfId="3449" xr:uid="{4B6F4231-7749-4C62-BEB5-1A047EC03858}"/>
    <cellStyle name="Note 2 18" xfId="1331" xr:uid="{00000000-0005-0000-0000-00003C050000}"/>
    <cellStyle name="Note 2 18 2" xfId="5524" xr:uid="{654C4688-D577-4764-A3BD-773D9D5D5339}"/>
    <cellStyle name="Note 2 18 3" xfId="3450" xr:uid="{272DF542-A9DD-47F5-B538-CEFDA8721EC7}"/>
    <cellStyle name="Note 2 19" xfId="1332" xr:uid="{00000000-0005-0000-0000-00003D050000}"/>
    <cellStyle name="Note 2 19 2" xfId="5525" xr:uid="{9A6AD817-5180-4B67-BA9B-34777B869D99}"/>
    <cellStyle name="Note 2 19 3" xfId="3451" xr:uid="{DD49BE07-4689-425E-A483-35610C4A08D8}"/>
    <cellStyle name="Note 2 2" xfId="1333" xr:uid="{00000000-0005-0000-0000-00003E050000}"/>
    <cellStyle name="Note 2 2 2" xfId="5526" xr:uid="{FDDF0027-4A3C-44A0-B256-4BCB8006A7B4}"/>
    <cellStyle name="Note 2 2 3" xfId="3452" xr:uid="{DF170B83-D9B0-4461-99F5-481B096241EF}"/>
    <cellStyle name="Note 2 20" xfId="1334" xr:uid="{00000000-0005-0000-0000-00003F050000}"/>
    <cellStyle name="Note 2 20 2" xfId="5527" xr:uid="{E39C3097-9AFE-4566-929D-2F59A7B4EEE8}"/>
    <cellStyle name="Note 2 20 3" xfId="3453" xr:uid="{D761B3F5-D242-493B-AC98-5EFF5DD6310E}"/>
    <cellStyle name="Note 2 21" xfId="1335" xr:uid="{00000000-0005-0000-0000-000040050000}"/>
    <cellStyle name="Note 2 21 2" xfId="5528" xr:uid="{3317D9BE-D9A5-4A37-A533-C17432FD21F8}"/>
    <cellStyle name="Note 2 21 3" xfId="3454" xr:uid="{A7A8C3CB-1622-4BA1-8CE8-E3CFBCBEE66B}"/>
    <cellStyle name="Note 2 22" xfId="1336" xr:uid="{00000000-0005-0000-0000-000041050000}"/>
    <cellStyle name="Note 2 22 2" xfId="5529" xr:uid="{D4A0003C-604D-4B87-9777-DCCED9AA86CD}"/>
    <cellStyle name="Note 2 22 3" xfId="3455" xr:uid="{17D9A9B8-1737-4339-BD43-B23DD0134D4C}"/>
    <cellStyle name="Note 2 23" xfId="1337" xr:uid="{00000000-0005-0000-0000-000042050000}"/>
    <cellStyle name="Note 2 23 2" xfId="5530" xr:uid="{3B93F39D-189E-4651-A42D-3194C508BE1A}"/>
    <cellStyle name="Note 2 23 3" xfId="3456" xr:uid="{CECD200F-CCC1-4A6D-BD2C-EFB52BFAF534}"/>
    <cellStyle name="Note 2 24" xfId="1338" xr:uid="{00000000-0005-0000-0000-000043050000}"/>
    <cellStyle name="Note 2 24 2" xfId="5531" xr:uid="{0996C2E0-0907-4F81-A147-93E9B87C3D05}"/>
    <cellStyle name="Note 2 24 3" xfId="3457" xr:uid="{CD1EDF4C-E89E-442A-8E2C-40CDFA2929E2}"/>
    <cellStyle name="Note 2 25" xfId="1339" xr:uid="{00000000-0005-0000-0000-000044050000}"/>
    <cellStyle name="Note 2 25 2" xfId="5532" xr:uid="{C1754626-A590-489E-9423-929AEE78159E}"/>
    <cellStyle name="Note 2 25 3" xfId="3458" xr:uid="{61520DFC-DD50-4CA5-BF7F-BE9D93808A49}"/>
    <cellStyle name="Note 2 26" xfId="1340" xr:uid="{00000000-0005-0000-0000-000045050000}"/>
    <cellStyle name="Note 2 26 2" xfId="5533" xr:uid="{151890B6-9A95-4A94-8970-CD982361D1ED}"/>
    <cellStyle name="Note 2 26 3" xfId="3459" xr:uid="{CDD0E0AB-6ABB-4E92-B42C-1773D1B71D98}"/>
    <cellStyle name="Note 2 27" xfId="1341" xr:uid="{00000000-0005-0000-0000-000046050000}"/>
    <cellStyle name="Note 2 27 2" xfId="5534" xr:uid="{040E2360-983E-40A7-A0B7-BB87C4D91118}"/>
    <cellStyle name="Note 2 27 3" xfId="3460" xr:uid="{142C8FA3-5CBF-4FA6-9285-8AA669111CC1}"/>
    <cellStyle name="Note 2 28" xfId="1342" xr:uid="{00000000-0005-0000-0000-000047050000}"/>
    <cellStyle name="Note 2 28 2" xfId="5535" xr:uid="{0B796F8C-6586-4F0A-A5DB-2BF99FFCF331}"/>
    <cellStyle name="Note 2 28 3" xfId="3461" xr:uid="{F039BB9B-CEC5-4620-8A82-48847AD560FE}"/>
    <cellStyle name="Note 2 29" xfId="1343" xr:uid="{00000000-0005-0000-0000-000048050000}"/>
    <cellStyle name="Note 2 29 2" xfId="5536" xr:uid="{51D01C28-1137-49A6-AAD4-A76B3CCE1E7D}"/>
    <cellStyle name="Note 2 29 3" xfId="3462" xr:uid="{D1E421DF-EC98-46EB-8881-99C08665B10D}"/>
    <cellStyle name="Note 2 3" xfId="1344" xr:uid="{00000000-0005-0000-0000-000049050000}"/>
    <cellStyle name="Note 2 3 2" xfId="5537" xr:uid="{61728EE9-33C3-4DF3-A5EC-400366EE8D26}"/>
    <cellStyle name="Note 2 3 3" xfId="3463" xr:uid="{555C6E49-4053-4FC6-B11E-B5C5AB631140}"/>
    <cellStyle name="Note 2 30" xfId="1345" xr:uid="{00000000-0005-0000-0000-00004A050000}"/>
    <cellStyle name="Note 2 30 2" xfId="5538" xr:uid="{4EA87D71-5FB3-4DD4-9E58-102C39F02AE2}"/>
    <cellStyle name="Note 2 30 3" xfId="3464" xr:uid="{7FCCB569-7DF9-4546-91FA-ECAEA4A7850D}"/>
    <cellStyle name="Note 2 31" xfId="1346" xr:uid="{00000000-0005-0000-0000-00004B050000}"/>
    <cellStyle name="Note 2 31 2" xfId="5539" xr:uid="{4978DA93-1E62-4047-BE6C-D51F572E1841}"/>
    <cellStyle name="Note 2 31 3" xfId="3465" xr:uid="{8F750532-2B67-4438-A91F-DF169928CF9E}"/>
    <cellStyle name="Note 2 32" xfId="1347" xr:uid="{00000000-0005-0000-0000-00004C050000}"/>
    <cellStyle name="Note 2 32 2" xfId="5540" xr:uid="{C071BEC1-81A4-4429-B087-09BEC11F7E83}"/>
    <cellStyle name="Note 2 32 3" xfId="3466" xr:uid="{A65AD279-A7FA-4BE1-A6E4-948E53E6496D}"/>
    <cellStyle name="Note 2 33" xfId="1348" xr:uid="{00000000-0005-0000-0000-00004D050000}"/>
    <cellStyle name="Note 2 33 2" xfId="5541" xr:uid="{A72DC55C-A2AE-4F22-92D4-080DCB10D0AD}"/>
    <cellStyle name="Note 2 33 3" xfId="3467" xr:uid="{8C603174-2619-4D70-9ED8-AF72C5336560}"/>
    <cellStyle name="Note 2 34" xfId="1349" xr:uid="{00000000-0005-0000-0000-00004E050000}"/>
    <cellStyle name="Note 2 34 2" xfId="5542" xr:uid="{088F2F6B-B233-4E6F-B68E-806D92DADE3C}"/>
    <cellStyle name="Note 2 34 3" xfId="3468" xr:uid="{2B7A8530-DE72-4BA0-9DA1-A6EA3A7F9C74}"/>
    <cellStyle name="Note 2 35" xfId="1350" xr:uid="{00000000-0005-0000-0000-00004F050000}"/>
    <cellStyle name="Note 2 35 2" xfId="5543" xr:uid="{A785DFA9-F2FE-421A-91AA-B772A74DAF4B}"/>
    <cellStyle name="Note 2 35 3" xfId="3469" xr:uid="{8853A8A9-A610-47EA-8088-77E0ABB7D462}"/>
    <cellStyle name="Note 2 36" xfId="1351" xr:uid="{00000000-0005-0000-0000-000050050000}"/>
    <cellStyle name="Note 2 36 2" xfId="5544" xr:uid="{79EC08C5-B4ED-4397-823B-9473ED9AC063}"/>
    <cellStyle name="Note 2 36 3" xfId="3470" xr:uid="{EFB14ED9-40BD-4A94-8F4B-6EDD9C70D8AC}"/>
    <cellStyle name="Note 2 37" xfId="1352" xr:uid="{00000000-0005-0000-0000-000051050000}"/>
    <cellStyle name="Note 2 37 2" xfId="5545" xr:uid="{65417C8B-5D1E-48F8-9BE8-B0924965893E}"/>
    <cellStyle name="Note 2 37 3" xfId="3471" xr:uid="{86843C9D-1DCF-4C30-862C-0367B024D84A}"/>
    <cellStyle name="Note 2 38" xfId="1353" xr:uid="{00000000-0005-0000-0000-000052050000}"/>
    <cellStyle name="Note 2 38 2" xfId="5546" xr:uid="{14A5C744-CC0E-4DDD-8F99-B9486364906F}"/>
    <cellStyle name="Note 2 38 3" xfId="3472" xr:uid="{93EF81BA-7A18-4432-B471-4D31B980A5E1}"/>
    <cellStyle name="Note 2 39" xfId="1354" xr:uid="{00000000-0005-0000-0000-000053050000}"/>
    <cellStyle name="Note 2 39 2" xfId="5547" xr:uid="{814CDC0C-3FF8-4606-BAA4-BC996AEC12DC}"/>
    <cellStyle name="Note 2 39 3" xfId="3473" xr:uid="{3C5A56A6-6394-4038-B826-F72021FC866D}"/>
    <cellStyle name="Note 2 4" xfId="1355" xr:uid="{00000000-0005-0000-0000-000054050000}"/>
    <cellStyle name="Note 2 4 2" xfId="5548" xr:uid="{0ECB6B5A-64D9-47DA-93DE-313A0BB46112}"/>
    <cellStyle name="Note 2 4 3" xfId="3474" xr:uid="{C55271C2-72A9-4235-88E6-9E45FB85B249}"/>
    <cellStyle name="Note 2 40" xfId="1356" xr:uid="{00000000-0005-0000-0000-000055050000}"/>
    <cellStyle name="Note 2 40 2" xfId="5549" xr:uid="{6242E6DF-9283-410F-A292-A18CBC839252}"/>
    <cellStyle name="Note 2 40 3" xfId="3475" xr:uid="{78CC55FD-DED7-49A5-868E-BE21D440BDBE}"/>
    <cellStyle name="Note 2 41" xfId="1357" xr:uid="{00000000-0005-0000-0000-000056050000}"/>
    <cellStyle name="Note 2 41 2" xfId="5550" xr:uid="{DF1689D0-7612-4F6F-9DE1-CEA4F5B456D6}"/>
    <cellStyle name="Note 2 41 3" xfId="3476" xr:uid="{FF0432D2-3256-493E-8D6E-64E3E13AE83F}"/>
    <cellStyle name="Note 2 42" xfId="1358" xr:uid="{00000000-0005-0000-0000-000057050000}"/>
    <cellStyle name="Note 2 42 2" xfId="5551" xr:uid="{FA6E433E-89EC-442B-B324-DD8873A90315}"/>
    <cellStyle name="Note 2 42 3" xfId="3477" xr:uid="{F56DA068-0469-4947-85AF-CC6D86B80213}"/>
    <cellStyle name="Note 2 43" xfId="1359" xr:uid="{00000000-0005-0000-0000-000058050000}"/>
    <cellStyle name="Note 2 43 2" xfId="5552" xr:uid="{6F6F41EC-9B03-4019-94CB-2CFFF775C4DA}"/>
    <cellStyle name="Note 2 43 3" xfId="3478" xr:uid="{AF494ABF-CAF4-42B7-BA8B-B817021E6AE9}"/>
    <cellStyle name="Note 2 44" xfId="1360" xr:uid="{00000000-0005-0000-0000-000059050000}"/>
    <cellStyle name="Note 2 44 2" xfId="5553" xr:uid="{A9741355-B606-4A28-94E9-2286B0AD80D6}"/>
    <cellStyle name="Note 2 44 3" xfId="3479" xr:uid="{4DB4CEFA-D964-4F77-BDFD-6D3B8CE05EDD}"/>
    <cellStyle name="Note 2 45" xfId="1361" xr:uid="{00000000-0005-0000-0000-00005A050000}"/>
    <cellStyle name="Note 2 45 2" xfId="5554" xr:uid="{246A9331-A8AE-4E6B-BA37-17FF29B70AD9}"/>
    <cellStyle name="Note 2 45 3" xfId="3480" xr:uid="{412BFCD6-FAF6-4463-8042-1F3B38AD78F6}"/>
    <cellStyle name="Note 2 46" xfId="1362" xr:uid="{00000000-0005-0000-0000-00005B050000}"/>
    <cellStyle name="Note 2 46 2" xfId="5555" xr:uid="{9EAC7A07-EACF-437A-8184-E2002EFA7662}"/>
    <cellStyle name="Note 2 46 3" xfId="3481" xr:uid="{B7E012F1-5E11-48D0-97AF-0D5F6E691745}"/>
    <cellStyle name="Note 2 47" xfId="1363" xr:uid="{00000000-0005-0000-0000-00005C050000}"/>
    <cellStyle name="Note 2 47 2" xfId="5556" xr:uid="{9C64107F-FB46-4A24-A6EF-5B377B6127C4}"/>
    <cellStyle name="Note 2 47 3" xfId="3482" xr:uid="{05CBD2B9-D994-4A12-9206-AC184F9373B1}"/>
    <cellStyle name="Note 2 48" xfId="5515" xr:uid="{5C1387D0-D64A-48D5-A257-7C36FCC1C6D5}"/>
    <cellStyle name="Note 2 49" xfId="3441" xr:uid="{D775F893-192B-4E18-90CA-3496E2E9619B}"/>
    <cellStyle name="Note 2 5" xfId="1364" xr:uid="{00000000-0005-0000-0000-00005D050000}"/>
    <cellStyle name="Note 2 5 2" xfId="5557" xr:uid="{981C91FB-1264-4B32-8F0B-992D7006E176}"/>
    <cellStyle name="Note 2 5 3" xfId="3483" xr:uid="{6A7AD74F-4313-4DAB-8594-4053174458FA}"/>
    <cellStyle name="Note 2 6" xfId="1365" xr:uid="{00000000-0005-0000-0000-00005E050000}"/>
    <cellStyle name="Note 2 6 2" xfId="5558" xr:uid="{0575757D-162F-4220-BD9B-F2EB331DAF26}"/>
    <cellStyle name="Note 2 6 3" xfId="3484" xr:uid="{A0E8D075-8A9A-47EC-ACDE-AA8C52C9C87D}"/>
    <cellStyle name="Note 2 7" xfId="1366" xr:uid="{00000000-0005-0000-0000-00005F050000}"/>
    <cellStyle name="Note 2 7 2" xfId="5559" xr:uid="{756571D1-A661-434A-8DD9-036941526CF8}"/>
    <cellStyle name="Note 2 7 3" xfId="3485" xr:uid="{E23E3268-85EC-4A70-82C2-B83FE6F46E81}"/>
    <cellStyle name="Note 2 8" xfId="1367" xr:uid="{00000000-0005-0000-0000-000060050000}"/>
    <cellStyle name="Note 2 8 2" xfId="5560" xr:uid="{F9949304-70E7-4F39-A266-0F1356BD4912}"/>
    <cellStyle name="Note 2 8 3" xfId="3486" xr:uid="{29CE0DE3-CF17-4404-BA9D-C7DF08C967FE}"/>
    <cellStyle name="Note 2 9" xfId="1368" xr:uid="{00000000-0005-0000-0000-000061050000}"/>
    <cellStyle name="Note 2 9 2" xfId="5561" xr:uid="{B5782DA0-D267-4972-99A3-CB717B989357}"/>
    <cellStyle name="Note 2 9 3" xfId="3487" xr:uid="{C6094DB0-9C73-4963-BEE2-3D755DE61DF9}"/>
    <cellStyle name="Note 3" xfId="1369" xr:uid="{00000000-0005-0000-0000-000062050000}"/>
    <cellStyle name="Note 3 10" xfId="1370" xr:uid="{00000000-0005-0000-0000-000063050000}"/>
    <cellStyle name="Note 3 10 2" xfId="5563" xr:uid="{87A9AF86-4B5E-4E63-9C72-446941DE9A8D}"/>
    <cellStyle name="Note 3 10 3" xfId="3489" xr:uid="{45867882-1B27-4D92-931A-2C8E8EA71218}"/>
    <cellStyle name="Note 3 11" xfId="1371" xr:uid="{00000000-0005-0000-0000-000064050000}"/>
    <cellStyle name="Note 3 11 2" xfId="5564" xr:uid="{2F4CC496-3EA6-48F6-A980-4586B089E6E3}"/>
    <cellStyle name="Note 3 11 3" xfId="3490" xr:uid="{89743B51-FDE5-4777-BF2B-86EA9BF24600}"/>
    <cellStyle name="Note 3 12" xfId="1372" xr:uid="{00000000-0005-0000-0000-000065050000}"/>
    <cellStyle name="Note 3 12 2" xfId="5565" xr:uid="{0FE9A21D-940E-489F-A181-EF64DDC0D3F9}"/>
    <cellStyle name="Note 3 12 3" xfId="3491" xr:uid="{3B25E5DA-5BA3-465A-84A0-DB7B40825327}"/>
    <cellStyle name="Note 3 13" xfId="1373" xr:uid="{00000000-0005-0000-0000-000066050000}"/>
    <cellStyle name="Note 3 13 2" xfId="5566" xr:uid="{90C6C8B9-A24A-470B-A458-0CA83AAEEF50}"/>
    <cellStyle name="Note 3 13 3" xfId="3492" xr:uid="{E00EC83F-CA89-4556-A649-05218FDA91F8}"/>
    <cellStyle name="Note 3 14" xfId="1374" xr:uid="{00000000-0005-0000-0000-000067050000}"/>
    <cellStyle name="Note 3 14 2" xfId="5567" xr:uid="{50FCD087-FBF2-4C39-919A-89F8C52E08B8}"/>
    <cellStyle name="Note 3 14 3" xfId="3493" xr:uid="{DE606AF6-3E8F-493A-A873-6A5599C83D09}"/>
    <cellStyle name="Note 3 15" xfId="1375" xr:uid="{00000000-0005-0000-0000-000068050000}"/>
    <cellStyle name="Note 3 15 2" xfId="5568" xr:uid="{FFFD5B15-1381-4A3A-BD77-D9E1255CA4F2}"/>
    <cellStyle name="Note 3 15 3" xfId="3494" xr:uid="{00AD5EE6-F4BC-4217-8B7E-EDF24AAE8B4A}"/>
    <cellStyle name="Note 3 16" xfId="1376" xr:uid="{00000000-0005-0000-0000-000069050000}"/>
    <cellStyle name="Note 3 16 2" xfId="5569" xr:uid="{97F2536B-FB66-49C1-A425-C58CDA4FE2B4}"/>
    <cellStyle name="Note 3 16 3" xfId="3495" xr:uid="{368DCB8B-64B2-4CDB-9A70-828D752D964C}"/>
    <cellStyle name="Note 3 17" xfId="1377" xr:uid="{00000000-0005-0000-0000-00006A050000}"/>
    <cellStyle name="Note 3 17 2" xfId="5570" xr:uid="{5ED71EC4-156A-4CB3-AB5B-D813788D9D07}"/>
    <cellStyle name="Note 3 17 3" xfId="3496" xr:uid="{92B2AE02-EA66-45EB-A51F-E1CFBDB624D8}"/>
    <cellStyle name="Note 3 18" xfId="1378" xr:uid="{00000000-0005-0000-0000-00006B050000}"/>
    <cellStyle name="Note 3 18 2" xfId="5571" xr:uid="{2B9C4701-034D-4983-853E-43BE02588A83}"/>
    <cellStyle name="Note 3 18 3" xfId="3497" xr:uid="{4092A47D-649F-44B8-955B-9E6A0AC6CCED}"/>
    <cellStyle name="Note 3 19" xfId="1379" xr:uid="{00000000-0005-0000-0000-00006C050000}"/>
    <cellStyle name="Note 3 19 2" xfId="5572" xr:uid="{7CFD1858-F3AC-4900-8BF0-EDDE75AE8063}"/>
    <cellStyle name="Note 3 19 3" xfId="3498" xr:uid="{9810A908-3D26-41A2-895B-5385CBAE2B65}"/>
    <cellStyle name="Note 3 2" xfId="1380" xr:uid="{00000000-0005-0000-0000-00006D050000}"/>
    <cellStyle name="Note 3 2 2" xfId="5573" xr:uid="{FF2280AC-5B02-448C-A7CF-384753629D9F}"/>
    <cellStyle name="Note 3 2 3" xfId="3499" xr:uid="{7EE41B0B-7867-4189-A239-F19A3C18723E}"/>
    <cellStyle name="Note 3 20" xfId="1381" xr:uid="{00000000-0005-0000-0000-00006E050000}"/>
    <cellStyle name="Note 3 20 2" xfId="5574" xr:uid="{5227E09D-ED07-46EC-A8CE-C890B009BCD1}"/>
    <cellStyle name="Note 3 20 3" xfId="3500" xr:uid="{AA6FC5DE-9CD7-4297-A373-D21C717EB68E}"/>
    <cellStyle name="Note 3 21" xfId="1382" xr:uid="{00000000-0005-0000-0000-00006F050000}"/>
    <cellStyle name="Note 3 21 2" xfId="5575" xr:uid="{4538AA80-1E30-4C86-B841-63619FA22FA1}"/>
    <cellStyle name="Note 3 21 3" xfId="3501" xr:uid="{A6F57590-BD7C-4623-9E4B-B27BAC5EF8E1}"/>
    <cellStyle name="Note 3 22" xfId="1383" xr:uid="{00000000-0005-0000-0000-000070050000}"/>
    <cellStyle name="Note 3 22 2" xfId="5576" xr:uid="{9C198F59-8A49-439A-A567-4D22E67A0664}"/>
    <cellStyle name="Note 3 22 3" xfId="3502" xr:uid="{FB140BF5-B16C-4621-950D-2DE54BFFF6A0}"/>
    <cellStyle name="Note 3 23" xfId="1384" xr:uid="{00000000-0005-0000-0000-000071050000}"/>
    <cellStyle name="Note 3 23 2" xfId="5577" xr:uid="{7D720F20-B930-45F0-BBAE-F77DCB804D83}"/>
    <cellStyle name="Note 3 23 3" xfId="3503" xr:uid="{9344E675-5860-4880-A970-33B9A1B893A2}"/>
    <cellStyle name="Note 3 24" xfId="1385" xr:uid="{00000000-0005-0000-0000-000072050000}"/>
    <cellStyle name="Note 3 24 2" xfId="5578" xr:uid="{13464E74-84F9-4EA3-B717-4FE6BCF969F8}"/>
    <cellStyle name="Note 3 24 3" xfId="3504" xr:uid="{9407F943-6E79-4DF1-A470-31421C1B5F41}"/>
    <cellStyle name="Note 3 25" xfId="1386" xr:uid="{00000000-0005-0000-0000-000073050000}"/>
    <cellStyle name="Note 3 25 2" xfId="5579" xr:uid="{BEFEA6FB-AF01-4FE0-A50C-EB6778467D2C}"/>
    <cellStyle name="Note 3 25 3" xfId="3505" xr:uid="{82ED4A92-9DA3-4E01-8D49-5DF858E56D3C}"/>
    <cellStyle name="Note 3 26" xfId="1387" xr:uid="{00000000-0005-0000-0000-000074050000}"/>
    <cellStyle name="Note 3 26 2" xfId="5580" xr:uid="{C131D766-D5CC-47E7-8AC5-C6510987C358}"/>
    <cellStyle name="Note 3 26 3" xfId="3506" xr:uid="{244CF76F-D4A4-4EB2-8E2F-540BEA2F492D}"/>
    <cellStyle name="Note 3 27" xfId="1388" xr:uid="{00000000-0005-0000-0000-000075050000}"/>
    <cellStyle name="Note 3 27 2" xfId="5581" xr:uid="{3CD92B10-6832-43F5-AC49-3616978EBAE9}"/>
    <cellStyle name="Note 3 27 3" xfId="3507" xr:uid="{9DF65282-F2AC-46BC-B19F-D42B219A7A3B}"/>
    <cellStyle name="Note 3 28" xfId="1389" xr:uid="{00000000-0005-0000-0000-000076050000}"/>
    <cellStyle name="Note 3 28 2" xfId="5582" xr:uid="{B341D24E-BE49-47C6-BFDA-28AE1AB7645E}"/>
    <cellStyle name="Note 3 28 3" xfId="3508" xr:uid="{79623881-B24B-4E98-8D8B-274AD13A153B}"/>
    <cellStyle name="Note 3 29" xfId="1390" xr:uid="{00000000-0005-0000-0000-000077050000}"/>
    <cellStyle name="Note 3 29 2" xfId="5583" xr:uid="{1F1AABE6-DA5A-4F39-98D6-D8FED2E91DB5}"/>
    <cellStyle name="Note 3 29 3" xfId="3509" xr:uid="{215F5BFD-39B0-4F6F-A433-B1E05939DF8C}"/>
    <cellStyle name="Note 3 3" xfId="1391" xr:uid="{00000000-0005-0000-0000-000078050000}"/>
    <cellStyle name="Note 3 3 2" xfId="5584" xr:uid="{07B8408E-1D3A-4FFE-96D9-E264D796E959}"/>
    <cellStyle name="Note 3 3 3" xfId="3510" xr:uid="{7DCA69C1-DFEB-42E8-9CBC-F4642EA02A93}"/>
    <cellStyle name="Note 3 30" xfId="1392" xr:uid="{00000000-0005-0000-0000-000079050000}"/>
    <cellStyle name="Note 3 30 2" xfId="5585" xr:uid="{AF10C75A-3468-447E-9E83-D6FC6060F7E1}"/>
    <cellStyle name="Note 3 30 3" xfId="3511" xr:uid="{000ECFC9-0855-4D93-A9D3-1081B14F8883}"/>
    <cellStyle name="Note 3 31" xfId="1393" xr:uid="{00000000-0005-0000-0000-00007A050000}"/>
    <cellStyle name="Note 3 31 2" xfId="5586" xr:uid="{0D0A8F2A-76D3-4B71-924A-8023FE06F009}"/>
    <cellStyle name="Note 3 31 3" xfId="3512" xr:uid="{3C96F4FE-A819-45E1-AD04-7592E5BAD487}"/>
    <cellStyle name="Note 3 32" xfId="1394" xr:uid="{00000000-0005-0000-0000-00007B050000}"/>
    <cellStyle name="Note 3 32 2" xfId="5587" xr:uid="{C51EA7E9-99B2-4509-8F55-C867E3352DEA}"/>
    <cellStyle name="Note 3 32 3" xfId="3513" xr:uid="{5B9B161F-6EAE-4485-AA9E-A3FB0D105590}"/>
    <cellStyle name="Note 3 33" xfId="1395" xr:uid="{00000000-0005-0000-0000-00007C050000}"/>
    <cellStyle name="Note 3 33 2" xfId="5588" xr:uid="{042E25DB-1287-45E5-B89A-555BB912CD67}"/>
    <cellStyle name="Note 3 33 3" xfId="3514" xr:uid="{433E14F5-4876-4C91-A713-A94A5208CB0A}"/>
    <cellStyle name="Note 3 34" xfId="1396" xr:uid="{00000000-0005-0000-0000-00007D050000}"/>
    <cellStyle name="Note 3 34 2" xfId="5589" xr:uid="{833E9D86-A52A-46CB-AA1E-5BA11802D084}"/>
    <cellStyle name="Note 3 34 3" xfId="3515" xr:uid="{14387C5B-4E38-48BB-8B49-3B9B094066D4}"/>
    <cellStyle name="Note 3 35" xfId="1397" xr:uid="{00000000-0005-0000-0000-00007E050000}"/>
    <cellStyle name="Note 3 35 2" xfId="5590" xr:uid="{4D314A65-5CB6-476C-86F7-1F89744E310E}"/>
    <cellStyle name="Note 3 35 3" xfId="3516" xr:uid="{E0E0488F-E449-42CD-B239-CFBB708D7B4E}"/>
    <cellStyle name="Note 3 36" xfId="1398" xr:uid="{00000000-0005-0000-0000-00007F050000}"/>
    <cellStyle name="Note 3 36 2" xfId="5591" xr:uid="{9E8B2F87-6129-45EB-9AF8-99F50680849E}"/>
    <cellStyle name="Note 3 36 3" xfId="3517" xr:uid="{709AB742-3564-4E03-A1B5-BD9D44BCE269}"/>
    <cellStyle name="Note 3 37" xfId="1399" xr:uid="{00000000-0005-0000-0000-000080050000}"/>
    <cellStyle name="Note 3 37 2" xfId="5592" xr:uid="{9BF92A08-9861-4C7B-BDEB-F606F5B2C854}"/>
    <cellStyle name="Note 3 37 3" xfId="3518" xr:uid="{FA0D90F0-94DB-4C53-B7B8-6A8C0DA85797}"/>
    <cellStyle name="Note 3 38" xfId="1400" xr:uid="{00000000-0005-0000-0000-000081050000}"/>
    <cellStyle name="Note 3 38 2" xfId="5593" xr:uid="{5A2C9865-967B-422A-87C7-50CF169D3C1C}"/>
    <cellStyle name="Note 3 38 3" xfId="3519" xr:uid="{BB4439FB-4F73-440D-8439-900E680F13D3}"/>
    <cellStyle name="Note 3 39" xfId="1401" xr:uid="{00000000-0005-0000-0000-000082050000}"/>
    <cellStyle name="Note 3 39 2" xfId="5594" xr:uid="{1ABD741E-4DFA-46A1-BF3C-CB2C541E4381}"/>
    <cellStyle name="Note 3 39 3" xfId="3520" xr:uid="{8FAD3076-29E8-47DC-887E-AD9113500433}"/>
    <cellStyle name="Note 3 4" xfId="1402" xr:uid="{00000000-0005-0000-0000-000083050000}"/>
    <cellStyle name="Note 3 4 2" xfId="5595" xr:uid="{F555A6C7-6B05-4F9B-AEBC-C2396952B3CE}"/>
    <cellStyle name="Note 3 4 3" xfId="3521" xr:uid="{0178BC1E-B28C-4B62-9E23-D663D687E917}"/>
    <cellStyle name="Note 3 40" xfId="1403" xr:uid="{00000000-0005-0000-0000-000084050000}"/>
    <cellStyle name="Note 3 40 2" xfId="5596" xr:uid="{6547FE5B-8A5E-46BD-8914-BD63162984B1}"/>
    <cellStyle name="Note 3 40 3" xfId="3522" xr:uid="{CCAB9F8D-B158-48D7-90D3-C44C86E08DCC}"/>
    <cellStyle name="Note 3 41" xfId="1404" xr:uid="{00000000-0005-0000-0000-000085050000}"/>
    <cellStyle name="Note 3 41 2" xfId="5597" xr:uid="{08CCADB1-D476-4497-8D7B-7A591BDF0F90}"/>
    <cellStyle name="Note 3 41 3" xfId="3523" xr:uid="{4690437A-470F-480C-BEA8-0CACC4826934}"/>
    <cellStyle name="Note 3 42" xfId="1405" xr:uid="{00000000-0005-0000-0000-000086050000}"/>
    <cellStyle name="Note 3 42 2" xfId="5598" xr:uid="{823CFFC1-FC4D-48AD-A39C-4C39678C0FDD}"/>
    <cellStyle name="Note 3 42 3" xfId="3524" xr:uid="{288AEB65-56D3-4FCA-A4C5-3B250E594EDD}"/>
    <cellStyle name="Note 3 43" xfId="1406" xr:uid="{00000000-0005-0000-0000-000087050000}"/>
    <cellStyle name="Note 3 43 2" xfId="5599" xr:uid="{E580B85B-4D09-49F7-97C4-B31B8943FC8B}"/>
    <cellStyle name="Note 3 43 3" xfId="3525" xr:uid="{AB9B66C3-A27C-4FC6-BEEA-9AE0D9A63D75}"/>
    <cellStyle name="Note 3 44" xfId="1407" xr:uid="{00000000-0005-0000-0000-000088050000}"/>
    <cellStyle name="Note 3 44 2" xfId="5600" xr:uid="{6634B1B3-E506-4122-A020-D11D5F27B43B}"/>
    <cellStyle name="Note 3 44 3" xfId="3526" xr:uid="{03818AA9-4832-445C-8986-00647BE79702}"/>
    <cellStyle name="Note 3 45" xfId="1408" xr:uid="{00000000-0005-0000-0000-000089050000}"/>
    <cellStyle name="Note 3 45 2" xfId="5601" xr:uid="{1B21CE1A-52CA-4844-8B5F-59806D590E85}"/>
    <cellStyle name="Note 3 45 3" xfId="3527" xr:uid="{767A0C0A-90CE-4B27-8FEF-96E00EFEF490}"/>
    <cellStyle name="Note 3 46" xfId="1409" xr:uid="{00000000-0005-0000-0000-00008A050000}"/>
    <cellStyle name="Note 3 46 2" xfId="5602" xr:uid="{6A2DDABB-70B4-4E8D-B52E-6A4C0F8452E5}"/>
    <cellStyle name="Note 3 46 3" xfId="3528" xr:uid="{1308B122-702A-45B1-B3E3-85275F15189C}"/>
    <cellStyle name="Note 3 47" xfId="1410" xr:uid="{00000000-0005-0000-0000-00008B050000}"/>
    <cellStyle name="Note 3 47 2" xfId="5603" xr:uid="{8FF41B68-939C-4413-9E65-8B7D3A64EECE}"/>
    <cellStyle name="Note 3 47 3" xfId="3529" xr:uid="{10DA1904-5711-4337-AF3A-F69CA3D8B194}"/>
    <cellStyle name="Note 3 48" xfId="5562" xr:uid="{37161D50-B53E-4731-8BF0-AEB4035999BA}"/>
    <cellStyle name="Note 3 49" xfId="3488" xr:uid="{04AFA7F3-86FF-4D9D-BE25-022FEB55FD5F}"/>
    <cellStyle name="Note 3 5" xfId="1411" xr:uid="{00000000-0005-0000-0000-00008C050000}"/>
    <cellStyle name="Note 3 5 2" xfId="5604" xr:uid="{E17D6F17-24C2-486C-B366-EEAD60A779F2}"/>
    <cellStyle name="Note 3 5 3" xfId="3530" xr:uid="{588F0A21-5DE2-456E-B83C-1549B76AE944}"/>
    <cellStyle name="Note 3 6" xfId="1412" xr:uid="{00000000-0005-0000-0000-00008D050000}"/>
    <cellStyle name="Note 3 6 2" xfId="5605" xr:uid="{C0AF03CB-FA63-4432-84AB-715373E99DA5}"/>
    <cellStyle name="Note 3 6 3" xfId="3531" xr:uid="{0747954B-A8AA-4E83-9022-DC46863CFBA9}"/>
    <cellStyle name="Note 3 7" xfId="1413" xr:uid="{00000000-0005-0000-0000-00008E050000}"/>
    <cellStyle name="Note 3 7 2" xfId="5606" xr:uid="{233AA112-BC6E-423B-9F78-78DB6E4DB86B}"/>
    <cellStyle name="Note 3 7 3" xfId="3532" xr:uid="{6F089253-33D8-40EC-B055-449EC8639D71}"/>
    <cellStyle name="Note 3 8" xfId="1414" xr:uid="{00000000-0005-0000-0000-00008F050000}"/>
    <cellStyle name="Note 3 8 2" xfId="5607" xr:uid="{514A0B95-556F-42AE-84FD-26381CD5B8D5}"/>
    <cellStyle name="Note 3 8 3" xfId="3533" xr:uid="{342B2550-64B1-46B6-BEF4-F729E25E2917}"/>
    <cellStyle name="Note 3 9" xfId="1415" xr:uid="{00000000-0005-0000-0000-000090050000}"/>
    <cellStyle name="Note 3 9 2" xfId="5608" xr:uid="{3B4575E1-8CA0-4FDF-AA27-06E90454E51C}"/>
    <cellStyle name="Note 3 9 3" xfId="3534" xr:uid="{8080D3AC-6CC1-4440-83F7-FE28A7BD0654}"/>
    <cellStyle name="Note 4" xfId="1416" xr:uid="{00000000-0005-0000-0000-000091050000}"/>
    <cellStyle name="Note 4 10" xfId="1417" xr:uid="{00000000-0005-0000-0000-000092050000}"/>
    <cellStyle name="Note 4 10 2" xfId="5610" xr:uid="{235DEFB8-31B7-473A-BE71-BE404420FFC4}"/>
    <cellStyle name="Note 4 10 3" xfId="3536" xr:uid="{778DF248-E17A-488D-906B-4CA35C307A72}"/>
    <cellStyle name="Note 4 11" xfId="1418" xr:uid="{00000000-0005-0000-0000-000093050000}"/>
    <cellStyle name="Note 4 11 2" xfId="5611" xr:uid="{047D60C0-9050-47E7-98E6-A891ECDD949F}"/>
    <cellStyle name="Note 4 11 3" xfId="3537" xr:uid="{88C6C666-CCA1-4B52-ADD2-EE9AAF125662}"/>
    <cellStyle name="Note 4 12" xfId="1419" xr:uid="{00000000-0005-0000-0000-000094050000}"/>
    <cellStyle name="Note 4 12 2" xfId="5612" xr:uid="{7A776B86-8A8A-449D-B7ED-6C0622602EA7}"/>
    <cellStyle name="Note 4 12 3" xfId="3538" xr:uid="{98C0A370-4AB1-4F25-8348-3FF03408D98F}"/>
    <cellStyle name="Note 4 13" xfId="1420" xr:uid="{00000000-0005-0000-0000-000095050000}"/>
    <cellStyle name="Note 4 13 2" xfId="5613" xr:uid="{BA5776DF-720A-45C7-81A3-BE3FB07812F2}"/>
    <cellStyle name="Note 4 13 3" xfId="3539" xr:uid="{6B74693B-527D-4258-94AD-6C8DB08D151F}"/>
    <cellStyle name="Note 4 14" xfId="1421" xr:uid="{00000000-0005-0000-0000-000096050000}"/>
    <cellStyle name="Note 4 14 2" xfId="5614" xr:uid="{CBCD1C2E-577B-4EDB-9716-148667896570}"/>
    <cellStyle name="Note 4 14 3" xfId="3540" xr:uid="{CD98D8C5-3B9B-4AFA-8833-58A3F28F4E72}"/>
    <cellStyle name="Note 4 15" xfId="1422" xr:uid="{00000000-0005-0000-0000-000097050000}"/>
    <cellStyle name="Note 4 15 2" xfId="5615" xr:uid="{CD61D58F-B1DF-43FB-B9A6-7E0FB3C86B06}"/>
    <cellStyle name="Note 4 15 3" xfId="3541" xr:uid="{88F1C890-4611-4E53-B7F8-5FA40E29D1AA}"/>
    <cellStyle name="Note 4 16" xfId="1423" xr:uid="{00000000-0005-0000-0000-000098050000}"/>
    <cellStyle name="Note 4 16 2" xfId="5616" xr:uid="{6878DE18-ADAC-4619-9822-24DCFCE5C6A3}"/>
    <cellStyle name="Note 4 16 3" xfId="3542" xr:uid="{C97EE836-BA35-4B4D-87DB-9AA6FCA8DFFB}"/>
    <cellStyle name="Note 4 17" xfId="1424" xr:uid="{00000000-0005-0000-0000-000099050000}"/>
    <cellStyle name="Note 4 17 2" xfId="5617" xr:uid="{EFFEEA92-256D-491A-B8A7-2891F224728D}"/>
    <cellStyle name="Note 4 17 3" xfId="3543" xr:uid="{CEC91EA4-C88C-4284-97CC-97958C77EA6F}"/>
    <cellStyle name="Note 4 18" xfId="1425" xr:uid="{00000000-0005-0000-0000-00009A050000}"/>
    <cellStyle name="Note 4 18 2" xfId="5618" xr:uid="{3C47BA3C-A574-49CE-A683-A48E55A92D5B}"/>
    <cellStyle name="Note 4 18 3" xfId="3544" xr:uid="{CE899320-0D68-409F-B1DD-99E9DD7DFAD1}"/>
    <cellStyle name="Note 4 19" xfId="1426" xr:uid="{00000000-0005-0000-0000-00009B050000}"/>
    <cellStyle name="Note 4 19 2" xfId="5619" xr:uid="{197318C3-8B2E-4E69-8CB4-C78B5201FC3B}"/>
    <cellStyle name="Note 4 19 3" xfId="3545" xr:uid="{E9A66095-49B6-4503-8ECB-05142CD75173}"/>
    <cellStyle name="Note 4 2" xfId="1427" xr:uid="{00000000-0005-0000-0000-00009C050000}"/>
    <cellStyle name="Note 4 2 2" xfId="5620" xr:uid="{0D49A9A0-42E0-444B-8D83-483F18496C91}"/>
    <cellStyle name="Note 4 2 3" xfId="3546" xr:uid="{6F18B9A3-7C03-4195-90C7-5AE7059AE5A3}"/>
    <cellStyle name="Note 4 20" xfId="1428" xr:uid="{00000000-0005-0000-0000-00009D050000}"/>
    <cellStyle name="Note 4 20 2" xfId="5621" xr:uid="{1695B197-5336-4569-9F80-542A70853CCE}"/>
    <cellStyle name="Note 4 20 3" xfId="3547" xr:uid="{23708223-BB20-4D7E-B50B-412918451831}"/>
    <cellStyle name="Note 4 21" xfId="1429" xr:uid="{00000000-0005-0000-0000-00009E050000}"/>
    <cellStyle name="Note 4 21 2" xfId="5622" xr:uid="{2D0F02CB-106A-4526-8DBB-C756A1CFC6FF}"/>
    <cellStyle name="Note 4 21 3" xfId="3548" xr:uid="{A054C247-DF19-44C0-B37D-63D6ADC0F2E9}"/>
    <cellStyle name="Note 4 22" xfId="1430" xr:uid="{00000000-0005-0000-0000-00009F050000}"/>
    <cellStyle name="Note 4 22 2" xfId="5623" xr:uid="{53B584FD-0B9B-4333-AF82-DED321D26745}"/>
    <cellStyle name="Note 4 22 3" xfId="3549" xr:uid="{A13E2672-1CC4-4011-88E4-D4F1B882FA11}"/>
    <cellStyle name="Note 4 23" xfId="1431" xr:uid="{00000000-0005-0000-0000-0000A0050000}"/>
    <cellStyle name="Note 4 23 2" xfId="5624" xr:uid="{2FAF2524-410D-4492-84F5-6EAEDCDDAC81}"/>
    <cellStyle name="Note 4 23 3" xfId="3550" xr:uid="{9C3A48F7-6A2D-42A4-B384-B74AEA3E568D}"/>
    <cellStyle name="Note 4 24" xfId="1432" xr:uid="{00000000-0005-0000-0000-0000A1050000}"/>
    <cellStyle name="Note 4 24 2" xfId="5625" xr:uid="{783789F3-03F2-4F49-A2CB-39F081274DB1}"/>
    <cellStyle name="Note 4 24 3" xfId="3551" xr:uid="{F005F14C-5FEB-468D-A41F-F00304E4B3CE}"/>
    <cellStyle name="Note 4 25" xfId="1433" xr:uid="{00000000-0005-0000-0000-0000A2050000}"/>
    <cellStyle name="Note 4 25 2" xfId="5626" xr:uid="{94393018-88D8-419F-9DDE-A5CCA8504EAA}"/>
    <cellStyle name="Note 4 25 3" xfId="3552" xr:uid="{F8D54CAF-9CB0-46A3-9D1E-848572555712}"/>
    <cellStyle name="Note 4 26" xfId="1434" xr:uid="{00000000-0005-0000-0000-0000A3050000}"/>
    <cellStyle name="Note 4 26 2" xfId="5627" xr:uid="{AA40F01E-5D53-4606-AF67-C00988D65BB0}"/>
    <cellStyle name="Note 4 26 3" xfId="3553" xr:uid="{C413132E-2A72-4B2A-9A7E-EBFFB35BB216}"/>
    <cellStyle name="Note 4 27" xfId="1435" xr:uid="{00000000-0005-0000-0000-0000A4050000}"/>
    <cellStyle name="Note 4 27 2" xfId="5628" xr:uid="{FE7D18B5-03A5-46E4-91FB-D559482230A3}"/>
    <cellStyle name="Note 4 27 3" xfId="3554" xr:uid="{FD1DC64A-85B4-446D-BEC5-ECE56D626118}"/>
    <cellStyle name="Note 4 28" xfId="1436" xr:uid="{00000000-0005-0000-0000-0000A5050000}"/>
    <cellStyle name="Note 4 28 2" xfId="5629" xr:uid="{91D1A603-C0B7-4CEA-AC8A-F030267157B9}"/>
    <cellStyle name="Note 4 28 3" xfId="3555" xr:uid="{964A5770-65D0-4BBC-A80E-DA9DD4E72C91}"/>
    <cellStyle name="Note 4 29" xfId="1437" xr:uid="{00000000-0005-0000-0000-0000A6050000}"/>
    <cellStyle name="Note 4 29 2" xfId="5630" xr:uid="{082618F7-1D1A-48ED-809C-697EA012A721}"/>
    <cellStyle name="Note 4 29 3" xfId="3556" xr:uid="{ACCA9BEC-A73A-4A47-B372-55607BE93002}"/>
    <cellStyle name="Note 4 3" xfId="1438" xr:uid="{00000000-0005-0000-0000-0000A7050000}"/>
    <cellStyle name="Note 4 3 2" xfId="5631" xr:uid="{9C0EFBC6-19F6-4FE6-956C-CCD1FE63A47C}"/>
    <cellStyle name="Note 4 3 3" xfId="3557" xr:uid="{8541976C-9B02-4CE8-86D9-9181C2FFDA6B}"/>
    <cellStyle name="Note 4 30" xfId="1439" xr:uid="{00000000-0005-0000-0000-0000A8050000}"/>
    <cellStyle name="Note 4 30 2" xfId="5632" xr:uid="{408D8A67-1155-4765-A6B6-61AFE7DCE00A}"/>
    <cellStyle name="Note 4 30 3" xfId="3558" xr:uid="{7E01DF33-7450-4D95-B4A8-B71223FCBEBC}"/>
    <cellStyle name="Note 4 31" xfId="1440" xr:uid="{00000000-0005-0000-0000-0000A9050000}"/>
    <cellStyle name="Note 4 31 2" xfId="5633" xr:uid="{53E80649-2CBD-4F37-AB43-84F81E45A92E}"/>
    <cellStyle name="Note 4 31 3" xfId="3559" xr:uid="{0607954B-48FB-4BE8-A171-3E422D1DADDE}"/>
    <cellStyle name="Note 4 32" xfId="1441" xr:uid="{00000000-0005-0000-0000-0000AA050000}"/>
    <cellStyle name="Note 4 32 2" xfId="5634" xr:uid="{5078254E-9AFB-4579-BA62-0C5C614E079A}"/>
    <cellStyle name="Note 4 32 3" xfId="3560" xr:uid="{2194FF6F-86E1-4C14-8B26-7C79DEEB5A5D}"/>
    <cellStyle name="Note 4 33" xfId="1442" xr:uid="{00000000-0005-0000-0000-0000AB050000}"/>
    <cellStyle name="Note 4 33 2" xfId="5635" xr:uid="{5A08E3D0-AF87-4017-905A-2CD083729E4B}"/>
    <cellStyle name="Note 4 33 3" xfId="3561" xr:uid="{E6917D92-E7A2-4AC4-803F-02432BDE15CE}"/>
    <cellStyle name="Note 4 34" xfId="1443" xr:uid="{00000000-0005-0000-0000-0000AC050000}"/>
    <cellStyle name="Note 4 34 2" xfId="5636" xr:uid="{3B329584-FBE1-4B75-8D29-135FD9351AD0}"/>
    <cellStyle name="Note 4 34 3" xfId="3562" xr:uid="{D11E7A5E-EACD-427F-93A5-452B27C88C91}"/>
    <cellStyle name="Note 4 35" xfId="1444" xr:uid="{00000000-0005-0000-0000-0000AD050000}"/>
    <cellStyle name="Note 4 35 2" xfId="5637" xr:uid="{96DB8DA3-6932-41D1-AAAD-970FF7685B9F}"/>
    <cellStyle name="Note 4 35 3" xfId="3563" xr:uid="{DD390F91-CCD2-4B6F-956E-7D32D484A6AC}"/>
    <cellStyle name="Note 4 36" xfId="1445" xr:uid="{00000000-0005-0000-0000-0000AE050000}"/>
    <cellStyle name="Note 4 36 2" xfId="5638" xr:uid="{3A8720D3-7E83-4C61-9557-2C2A28A699B8}"/>
    <cellStyle name="Note 4 36 3" xfId="3564" xr:uid="{4636823E-DD5D-421D-9C4B-701D7064CE86}"/>
    <cellStyle name="Note 4 37" xfId="1446" xr:uid="{00000000-0005-0000-0000-0000AF050000}"/>
    <cellStyle name="Note 4 37 2" xfId="5639" xr:uid="{50982986-B6FC-4D1A-BC62-B12E7E744F99}"/>
    <cellStyle name="Note 4 37 3" xfId="3565" xr:uid="{2AA6A6CE-C103-4064-9EBD-7DFBD86AF1D0}"/>
    <cellStyle name="Note 4 38" xfId="1447" xr:uid="{00000000-0005-0000-0000-0000B0050000}"/>
    <cellStyle name="Note 4 38 2" xfId="5640" xr:uid="{D88F6393-7C92-4981-A8EB-575064B7BD61}"/>
    <cellStyle name="Note 4 38 3" xfId="3566" xr:uid="{1808E4F4-A973-4748-9554-0797411751AE}"/>
    <cellStyle name="Note 4 39" xfId="1448" xr:uid="{00000000-0005-0000-0000-0000B1050000}"/>
    <cellStyle name="Note 4 39 2" xfId="5641" xr:uid="{39F66A79-0347-4808-AA52-4B5E634EBB59}"/>
    <cellStyle name="Note 4 39 3" xfId="3567" xr:uid="{1F4B5E76-D805-472B-936C-EB51FDB9CE02}"/>
    <cellStyle name="Note 4 4" xfId="1449" xr:uid="{00000000-0005-0000-0000-0000B2050000}"/>
    <cellStyle name="Note 4 4 2" xfId="5642" xr:uid="{15BAD16B-56F6-439B-986B-F46D751F08AD}"/>
    <cellStyle name="Note 4 4 3" xfId="3568" xr:uid="{8A7F04FE-30AA-4086-B9A8-7E22CEE4063F}"/>
    <cellStyle name="Note 4 40" xfId="1450" xr:uid="{00000000-0005-0000-0000-0000B3050000}"/>
    <cellStyle name="Note 4 40 2" xfId="5643" xr:uid="{CEFF17D8-E9F0-478E-8C7B-903DCB44E1F0}"/>
    <cellStyle name="Note 4 40 3" xfId="3569" xr:uid="{8970DB1C-BB34-49CD-89CD-59EDF1231AE6}"/>
    <cellStyle name="Note 4 41" xfId="1451" xr:uid="{00000000-0005-0000-0000-0000B4050000}"/>
    <cellStyle name="Note 4 41 2" xfId="5644" xr:uid="{BFC5CA5E-8D83-4EA5-93C0-34F4E18ED5A2}"/>
    <cellStyle name="Note 4 41 3" xfId="3570" xr:uid="{BD457759-04D5-428E-BF2E-8D152912C83A}"/>
    <cellStyle name="Note 4 42" xfId="1452" xr:uid="{00000000-0005-0000-0000-0000B5050000}"/>
    <cellStyle name="Note 4 42 2" xfId="5645" xr:uid="{2BB389F7-DDCF-4209-A59D-D018470E213C}"/>
    <cellStyle name="Note 4 42 3" xfId="3571" xr:uid="{B8923E8E-C325-423D-BFA1-E07E0CBF234B}"/>
    <cellStyle name="Note 4 43" xfId="1453" xr:uid="{00000000-0005-0000-0000-0000B6050000}"/>
    <cellStyle name="Note 4 43 2" xfId="5646" xr:uid="{E28BE6FC-C5CD-448D-A166-2A7BDA998D24}"/>
    <cellStyle name="Note 4 43 3" xfId="3572" xr:uid="{B1F9C86D-C9D8-4118-BFA3-2220C670F426}"/>
    <cellStyle name="Note 4 44" xfId="1454" xr:uid="{00000000-0005-0000-0000-0000B7050000}"/>
    <cellStyle name="Note 4 44 2" xfId="5647" xr:uid="{0F82635E-F982-4F17-9957-0C7522F594EA}"/>
    <cellStyle name="Note 4 44 3" xfId="3573" xr:uid="{695DF3A7-C52D-40EF-8607-23FABC86FAC6}"/>
    <cellStyle name="Note 4 45" xfId="1455" xr:uid="{00000000-0005-0000-0000-0000B8050000}"/>
    <cellStyle name="Note 4 45 2" xfId="5648" xr:uid="{1BF081B7-86A4-4FFE-AD56-50D66AA30668}"/>
    <cellStyle name="Note 4 45 3" xfId="3574" xr:uid="{31155019-3936-4A29-AC51-AA3A2A0C1EDC}"/>
    <cellStyle name="Note 4 46" xfId="1456" xr:uid="{00000000-0005-0000-0000-0000B9050000}"/>
    <cellStyle name="Note 4 46 2" xfId="5649" xr:uid="{BEC8C3D4-96AF-4E2B-9CBD-FFF637436595}"/>
    <cellStyle name="Note 4 46 3" xfId="3575" xr:uid="{38FE9C36-3B37-4221-8A82-71C10220A1A1}"/>
    <cellStyle name="Note 4 47" xfId="1457" xr:uid="{00000000-0005-0000-0000-0000BA050000}"/>
    <cellStyle name="Note 4 47 2" xfId="5650" xr:uid="{BACD1EBF-76C4-4A3C-AB50-AE416867A777}"/>
    <cellStyle name="Note 4 47 3" xfId="3576" xr:uid="{58E55F98-144F-4F07-8E49-47F15C2546B4}"/>
    <cellStyle name="Note 4 48" xfId="5609" xr:uid="{7C553F56-2C39-4EDA-AA88-F1174D5C3B39}"/>
    <cellStyle name="Note 4 49" xfId="3535" xr:uid="{16D6704A-1530-41CF-997C-786CFD2DF5FB}"/>
    <cellStyle name="Note 4 5" xfId="1458" xr:uid="{00000000-0005-0000-0000-0000BB050000}"/>
    <cellStyle name="Note 4 5 2" xfId="5651" xr:uid="{2CD5BFBE-067D-415A-82CE-FC78CB94CAFA}"/>
    <cellStyle name="Note 4 5 3" xfId="3577" xr:uid="{512CDD94-5D4C-4BDC-AE16-378A053C9B73}"/>
    <cellStyle name="Note 4 6" xfId="1459" xr:uid="{00000000-0005-0000-0000-0000BC050000}"/>
    <cellStyle name="Note 4 6 2" xfId="5652" xr:uid="{52E07371-DEC6-455A-8373-B8FAC4013BAA}"/>
    <cellStyle name="Note 4 6 3" xfId="3578" xr:uid="{092852DA-337A-4CE8-B31C-D9D5149C3C08}"/>
    <cellStyle name="Note 4 7" xfId="1460" xr:uid="{00000000-0005-0000-0000-0000BD050000}"/>
    <cellStyle name="Note 4 7 2" xfId="5653" xr:uid="{0C1A26B8-F90B-4960-81EC-0CC264B612C1}"/>
    <cellStyle name="Note 4 7 3" xfId="3579" xr:uid="{0EC2B35A-58AE-4478-BC3A-DE228837FF3E}"/>
    <cellStyle name="Note 4 8" xfId="1461" xr:uid="{00000000-0005-0000-0000-0000BE050000}"/>
    <cellStyle name="Note 4 8 2" xfId="5654" xr:uid="{3F797F5D-A861-4BE8-A4A1-DFEC49BBAFD7}"/>
    <cellStyle name="Note 4 8 3" xfId="3580" xr:uid="{F3141E6F-82DD-499A-90B8-BFC45365A21E}"/>
    <cellStyle name="Note 4 9" xfId="1462" xr:uid="{00000000-0005-0000-0000-0000BF050000}"/>
    <cellStyle name="Note 4 9 2" xfId="5655" xr:uid="{F7E6E12F-2697-4791-8ED5-339B9316FC21}"/>
    <cellStyle name="Note 4 9 3" xfId="3581" xr:uid="{B6FD2878-8F14-43F3-99DF-E43D351CFD70}"/>
    <cellStyle name="Note 5" xfId="1463" xr:uid="{00000000-0005-0000-0000-0000C0050000}"/>
    <cellStyle name="Note 5 10" xfId="1464" xr:uid="{00000000-0005-0000-0000-0000C1050000}"/>
    <cellStyle name="Note 5 10 2" xfId="5657" xr:uid="{C9D7C881-0EF1-4FA1-B2C3-03196AA1F807}"/>
    <cellStyle name="Note 5 10 3" xfId="3583" xr:uid="{BC26F0A1-520C-4DC9-A0CA-C6CEB359DDCF}"/>
    <cellStyle name="Note 5 11" xfId="1465" xr:uid="{00000000-0005-0000-0000-0000C2050000}"/>
    <cellStyle name="Note 5 11 2" xfId="5658" xr:uid="{AE40E5B6-5E8C-4E76-9D46-34A48934F351}"/>
    <cellStyle name="Note 5 11 3" xfId="3584" xr:uid="{95786707-1DE4-4EFE-9794-D49C4C0E297B}"/>
    <cellStyle name="Note 5 12" xfId="1466" xr:uid="{00000000-0005-0000-0000-0000C3050000}"/>
    <cellStyle name="Note 5 12 2" xfId="5659" xr:uid="{1366850F-83FD-46A2-BE50-351B9F524347}"/>
    <cellStyle name="Note 5 12 3" xfId="3585" xr:uid="{E5A4C709-00EB-4CAE-895F-0E9F4AEFABC5}"/>
    <cellStyle name="Note 5 13" xfId="1467" xr:uid="{00000000-0005-0000-0000-0000C4050000}"/>
    <cellStyle name="Note 5 13 2" xfId="5660" xr:uid="{EE4609D0-5302-489D-8469-AF3834C59D7C}"/>
    <cellStyle name="Note 5 13 3" xfId="3586" xr:uid="{98E50C0D-D86E-41CE-9D87-7CE176240C9A}"/>
    <cellStyle name="Note 5 14" xfId="1468" xr:uid="{00000000-0005-0000-0000-0000C5050000}"/>
    <cellStyle name="Note 5 14 2" xfId="5661" xr:uid="{619B7755-BD50-4DBE-BCE2-37D03793B82E}"/>
    <cellStyle name="Note 5 14 3" xfId="3587" xr:uid="{8AFACA10-EEBE-4F05-952B-B1B2722CC835}"/>
    <cellStyle name="Note 5 15" xfId="1469" xr:uid="{00000000-0005-0000-0000-0000C6050000}"/>
    <cellStyle name="Note 5 15 2" xfId="5662" xr:uid="{3CC43A35-7B76-4781-9F2C-2A2463F33E30}"/>
    <cellStyle name="Note 5 15 3" xfId="3588" xr:uid="{F980BC8B-9DEE-45A8-A92E-E0D301900125}"/>
    <cellStyle name="Note 5 16" xfId="1470" xr:uid="{00000000-0005-0000-0000-0000C7050000}"/>
    <cellStyle name="Note 5 16 2" xfId="5663" xr:uid="{EA6C26BA-81F1-42FC-BB09-7FFC4D098C54}"/>
    <cellStyle name="Note 5 16 3" xfId="3589" xr:uid="{83E8D8DA-CEC8-44FC-A26E-0BAB69ADACC0}"/>
    <cellStyle name="Note 5 17" xfId="1471" xr:uid="{00000000-0005-0000-0000-0000C8050000}"/>
    <cellStyle name="Note 5 17 2" xfId="5664" xr:uid="{F1099420-0B37-4BC7-99DE-227B7A985C77}"/>
    <cellStyle name="Note 5 17 3" xfId="3590" xr:uid="{5104BDE3-1A80-4665-B6E4-D4704F789F74}"/>
    <cellStyle name="Note 5 18" xfId="1472" xr:uid="{00000000-0005-0000-0000-0000C9050000}"/>
    <cellStyle name="Note 5 18 2" xfId="5665" xr:uid="{B9A3B366-25C1-4D03-9838-C55A05F613F4}"/>
    <cellStyle name="Note 5 18 3" xfId="3591" xr:uid="{9D389296-E032-48F7-A0F7-11896E103EB7}"/>
    <cellStyle name="Note 5 19" xfId="1473" xr:uid="{00000000-0005-0000-0000-0000CA050000}"/>
    <cellStyle name="Note 5 19 2" xfId="5666" xr:uid="{3048D2E0-D186-40A9-898F-C8B2CE3347BF}"/>
    <cellStyle name="Note 5 19 3" xfId="3592" xr:uid="{D9C5B3C6-6EEB-4A36-9942-2E61A1EC0BE3}"/>
    <cellStyle name="Note 5 2" xfId="1474" xr:uid="{00000000-0005-0000-0000-0000CB050000}"/>
    <cellStyle name="Note 5 2 2" xfId="5667" xr:uid="{44E69F5D-0A38-459E-B304-1B64629E3AB0}"/>
    <cellStyle name="Note 5 2 3" xfId="3593" xr:uid="{EE0489CE-7FE5-4770-A2CC-ABC7EE51BA4B}"/>
    <cellStyle name="Note 5 20" xfId="1475" xr:uid="{00000000-0005-0000-0000-0000CC050000}"/>
    <cellStyle name="Note 5 20 2" xfId="5668" xr:uid="{3CBC2E30-09A9-45ED-B688-23729D340E3F}"/>
    <cellStyle name="Note 5 20 3" xfId="3594" xr:uid="{13D2EB99-0925-46DA-8228-FDD39C4894A5}"/>
    <cellStyle name="Note 5 21" xfId="1476" xr:uid="{00000000-0005-0000-0000-0000CD050000}"/>
    <cellStyle name="Note 5 21 2" xfId="5669" xr:uid="{0DC030A2-F23B-49F3-920C-AEC2557376CC}"/>
    <cellStyle name="Note 5 21 3" xfId="3595" xr:uid="{265898EE-6E20-41B2-8BD0-3D531072AF90}"/>
    <cellStyle name="Note 5 22" xfId="1477" xr:uid="{00000000-0005-0000-0000-0000CE050000}"/>
    <cellStyle name="Note 5 22 2" xfId="5670" xr:uid="{239AD3D2-298E-492C-B4FA-B8CC15B68D3C}"/>
    <cellStyle name="Note 5 22 3" xfId="3596" xr:uid="{B9DE7A4E-1283-405F-9E54-FC295268791B}"/>
    <cellStyle name="Note 5 23" xfId="1478" xr:uid="{00000000-0005-0000-0000-0000CF050000}"/>
    <cellStyle name="Note 5 23 2" xfId="5671" xr:uid="{2D316C83-07DC-4154-933F-F637C2E1ABD9}"/>
    <cellStyle name="Note 5 23 3" xfId="3597" xr:uid="{18F93151-7A41-4A94-88F4-9F6EB00CF88A}"/>
    <cellStyle name="Note 5 24" xfId="1479" xr:uid="{00000000-0005-0000-0000-0000D0050000}"/>
    <cellStyle name="Note 5 24 2" xfId="5672" xr:uid="{D86C70F9-4634-462A-A618-295768AC6392}"/>
    <cellStyle name="Note 5 24 3" xfId="3598" xr:uid="{3B402EB3-513C-46A9-B75F-8C790EFAEFF8}"/>
    <cellStyle name="Note 5 25" xfId="1480" xr:uid="{00000000-0005-0000-0000-0000D1050000}"/>
    <cellStyle name="Note 5 25 2" xfId="5673" xr:uid="{933A3246-1183-430E-8B35-5F1EFDF18B51}"/>
    <cellStyle name="Note 5 25 3" xfId="3599" xr:uid="{76B57249-0323-4E00-AD48-F2CD50CB0D7E}"/>
    <cellStyle name="Note 5 26" xfId="1481" xr:uid="{00000000-0005-0000-0000-0000D2050000}"/>
    <cellStyle name="Note 5 26 2" xfId="5674" xr:uid="{73F4822C-B702-4AE3-ADD5-2050F69056A6}"/>
    <cellStyle name="Note 5 26 3" xfId="3600" xr:uid="{DA18E694-E76D-4E81-B108-E28CE09A8571}"/>
    <cellStyle name="Note 5 27" xfId="1482" xr:uid="{00000000-0005-0000-0000-0000D3050000}"/>
    <cellStyle name="Note 5 27 2" xfId="5675" xr:uid="{6544246B-6C35-452E-9B85-5C2E8075623C}"/>
    <cellStyle name="Note 5 27 3" xfId="3601" xr:uid="{A974E143-9B78-4E31-BCBA-72C589CC7BC1}"/>
    <cellStyle name="Note 5 28" xfId="1483" xr:uid="{00000000-0005-0000-0000-0000D4050000}"/>
    <cellStyle name="Note 5 28 2" xfId="5676" xr:uid="{0734C48B-05EE-421C-8248-3DA90B5176A4}"/>
    <cellStyle name="Note 5 28 3" xfId="3602" xr:uid="{87530951-470A-477A-B8CF-022C4C3A2DD6}"/>
    <cellStyle name="Note 5 29" xfId="1484" xr:uid="{00000000-0005-0000-0000-0000D5050000}"/>
    <cellStyle name="Note 5 29 2" xfId="5677" xr:uid="{50C9A174-5AE1-4426-AAF2-0D1E016267DC}"/>
    <cellStyle name="Note 5 29 3" xfId="3603" xr:uid="{FD90B274-052B-4E63-93E2-1C825E9EB2DC}"/>
    <cellStyle name="Note 5 3" xfId="1485" xr:uid="{00000000-0005-0000-0000-0000D6050000}"/>
    <cellStyle name="Note 5 3 2" xfId="5678" xr:uid="{523898E3-3F6B-4754-8A92-5ADD17EA9D69}"/>
    <cellStyle name="Note 5 3 3" xfId="3604" xr:uid="{F9DF49A4-2E58-422F-BE76-9ED00D240A6D}"/>
    <cellStyle name="Note 5 30" xfId="1486" xr:uid="{00000000-0005-0000-0000-0000D7050000}"/>
    <cellStyle name="Note 5 30 2" xfId="5679" xr:uid="{21610443-26CA-4291-B7F8-101E8B872E16}"/>
    <cellStyle name="Note 5 30 3" xfId="3605" xr:uid="{ABEDCF6C-208A-43D5-AA4A-7B90D8DA9E15}"/>
    <cellStyle name="Note 5 31" xfId="1487" xr:uid="{00000000-0005-0000-0000-0000D8050000}"/>
    <cellStyle name="Note 5 31 2" xfId="5680" xr:uid="{4BF97846-D480-4CBF-944C-60F906902605}"/>
    <cellStyle name="Note 5 31 3" xfId="3606" xr:uid="{EB73C574-6EE2-4905-B03D-533963731193}"/>
    <cellStyle name="Note 5 32" xfId="1488" xr:uid="{00000000-0005-0000-0000-0000D9050000}"/>
    <cellStyle name="Note 5 32 2" xfId="5681" xr:uid="{CE890C69-7416-4AE3-9602-FD0268CC9BB4}"/>
    <cellStyle name="Note 5 32 3" xfId="3607" xr:uid="{36F0D1B4-7F06-4B99-AE72-E8F4FE5ADC8B}"/>
    <cellStyle name="Note 5 33" xfId="1489" xr:uid="{00000000-0005-0000-0000-0000DA050000}"/>
    <cellStyle name="Note 5 33 2" xfId="5682" xr:uid="{55E0A8B1-8C4C-4298-ABE7-AA95913F573D}"/>
    <cellStyle name="Note 5 33 3" xfId="3608" xr:uid="{2EA325E3-2025-4770-A41A-8CDB61C3EA38}"/>
    <cellStyle name="Note 5 34" xfId="1490" xr:uid="{00000000-0005-0000-0000-0000DB050000}"/>
    <cellStyle name="Note 5 34 2" xfId="5683" xr:uid="{75120C31-D46E-4080-BC94-E924DE049BCA}"/>
    <cellStyle name="Note 5 34 3" xfId="3609" xr:uid="{B17A4774-317A-4DD4-B3FC-5DB22D28696C}"/>
    <cellStyle name="Note 5 35" xfId="1491" xr:uid="{00000000-0005-0000-0000-0000DC050000}"/>
    <cellStyle name="Note 5 35 2" xfId="5684" xr:uid="{A0956368-64D5-4370-BA0D-8CE772DCFFE8}"/>
    <cellStyle name="Note 5 35 3" xfId="3610" xr:uid="{D2D414CA-D853-420A-ADE3-7DF21BFA5186}"/>
    <cellStyle name="Note 5 36" xfId="1492" xr:uid="{00000000-0005-0000-0000-0000DD050000}"/>
    <cellStyle name="Note 5 36 2" xfId="5685" xr:uid="{1159799A-684C-47EF-AEEF-96EADBBE6824}"/>
    <cellStyle name="Note 5 36 3" xfId="3611" xr:uid="{49D2F01D-DA2C-491C-B07E-F8DCF8C6DC3D}"/>
    <cellStyle name="Note 5 37" xfId="1493" xr:uid="{00000000-0005-0000-0000-0000DE050000}"/>
    <cellStyle name="Note 5 37 2" xfId="5686" xr:uid="{07DE17BB-F004-40F3-B15E-8A55C7220A23}"/>
    <cellStyle name="Note 5 37 3" xfId="3612" xr:uid="{ADCED788-55B9-4F9E-80AE-158230871880}"/>
    <cellStyle name="Note 5 38" xfId="1494" xr:uid="{00000000-0005-0000-0000-0000DF050000}"/>
    <cellStyle name="Note 5 38 2" xfId="5687" xr:uid="{E83E4034-9155-4CB1-A997-C2F567E603AE}"/>
    <cellStyle name="Note 5 38 3" xfId="3613" xr:uid="{07874EEF-7980-4148-816C-E21EDD2C3BC2}"/>
    <cellStyle name="Note 5 39" xfId="1495" xr:uid="{00000000-0005-0000-0000-0000E0050000}"/>
    <cellStyle name="Note 5 39 2" xfId="5688" xr:uid="{ADB3D004-9ED1-423F-9E62-2812D25B7F41}"/>
    <cellStyle name="Note 5 39 3" xfId="3614" xr:uid="{B5D15E55-228A-4D70-B0B9-1DC2B58722CC}"/>
    <cellStyle name="Note 5 4" xfId="1496" xr:uid="{00000000-0005-0000-0000-0000E1050000}"/>
    <cellStyle name="Note 5 4 2" xfId="5689" xr:uid="{5CDD3926-3873-45EB-8EBC-A38C95F0F022}"/>
    <cellStyle name="Note 5 4 3" xfId="3615" xr:uid="{F2014EC2-50E5-4CF3-90F7-ADD6F784EFDE}"/>
    <cellStyle name="Note 5 40" xfId="1497" xr:uid="{00000000-0005-0000-0000-0000E2050000}"/>
    <cellStyle name="Note 5 40 2" xfId="5690" xr:uid="{7256F10C-9AFC-4E73-B14F-A77ECE446094}"/>
    <cellStyle name="Note 5 40 3" xfId="3616" xr:uid="{189AD28C-B038-4F8C-A2A5-88258DDDCB74}"/>
    <cellStyle name="Note 5 41" xfId="1498" xr:uid="{00000000-0005-0000-0000-0000E3050000}"/>
    <cellStyle name="Note 5 41 2" xfId="5691" xr:uid="{3D43EEBF-2F33-4A31-90C0-56293181564E}"/>
    <cellStyle name="Note 5 41 3" xfId="3617" xr:uid="{16522336-18BC-4EEC-8673-8FE12EEEF6D5}"/>
    <cellStyle name="Note 5 42" xfId="1499" xr:uid="{00000000-0005-0000-0000-0000E4050000}"/>
    <cellStyle name="Note 5 42 2" xfId="5692" xr:uid="{9F6F341F-72CB-4B4E-8D49-F6C12D3234DD}"/>
    <cellStyle name="Note 5 42 3" xfId="3618" xr:uid="{B3673924-E837-421C-B17A-685174E577FA}"/>
    <cellStyle name="Note 5 43" xfId="1500" xr:uid="{00000000-0005-0000-0000-0000E5050000}"/>
    <cellStyle name="Note 5 43 2" xfId="5693" xr:uid="{7682FDE0-D296-4D5F-A7A5-C4FF07C5AE61}"/>
    <cellStyle name="Note 5 43 3" xfId="3619" xr:uid="{1D4C1BF2-3539-4BFF-82EF-448D11C90060}"/>
    <cellStyle name="Note 5 44" xfId="1501" xr:uid="{00000000-0005-0000-0000-0000E6050000}"/>
    <cellStyle name="Note 5 44 2" xfId="5694" xr:uid="{A4D8D4A5-434E-4FC1-8469-F61FF25DB68F}"/>
    <cellStyle name="Note 5 44 3" xfId="3620" xr:uid="{4E970A89-7F62-44A9-9438-48AFF6628EB6}"/>
    <cellStyle name="Note 5 45" xfId="1502" xr:uid="{00000000-0005-0000-0000-0000E7050000}"/>
    <cellStyle name="Note 5 45 2" xfId="5695" xr:uid="{D1C26777-1FF1-48F1-BBE5-50460FAF7308}"/>
    <cellStyle name="Note 5 45 3" xfId="3621" xr:uid="{D8D6C266-92A6-439D-8409-6DF66C6BCAE2}"/>
    <cellStyle name="Note 5 46" xfId="1503" xr:uid="{00000000-0005-0000-0000-0000E8050000}"/>
    <cellStyle name="Note 5 46 2" xfId="5696" xr:uid="{10EF2181-6465-461A-B7FB-95DFBB5E7938}"/>
    <cellStyle name="Note 5 46 3" xfId="3622" xr:uid="{8409C5BC-362D-47AE-829D-EC81F1D9C8E4}"/>
    <cellStyle name="Note 5 47" xfId="1504" xr:uid="{00000000-0005-0000-0000-0000E9050000}"/>
    <cellStyle name="Note 5 47 2" xfId="5697" xr:uid="{DBF0E354-99B0-4A05-A88C-A2E4014848A1}"/>
    <cellStyle name="Note 5 47 3" xfId="3623" xr:uid="{616E5BFD-A827-40A8-BE4F-0C51A05DDF0C}"/>
    <cellStyle name="Note 5 48" xfId="5656" xr:uid="{C34C58E7-43F1-48CA-83BE-6065C6C13FB1}"/>
    <cellStyle name="Note 5 49" xfId="3582" xr:uid="{F34A3FC7-A12D-4DA6-A734-B5B54FBCEF8F}"/>
    <cellStyle name="Note 5 5" xfId="1505" xr:uid="{00000000-0005-0000-0000-0000EA050000}"/>
    <cellStyle name="Note 5 5 2" xfId="5698" xr:uid="{F482F872-C79E-4BC9-9B10-83B27F711927}"/>
    <cellStyle name="Note 5 5 3" xfId="3624" xr:uid="{51AF6347-A929-4CFB-9607-C7F8DB7053A8}"/>
    <cellStyle name="Note 5 6" xfId="1506" xr:uid="{00000000-0005-0000-0000-0000EB050000}"/>
    <cellStyle name="Note 5 6 2" xfId="5699" xr:uid="{E84844F6-B681-4FF7-9558-CD95D98E3BBC}"/>
    <cellStyle name="Note 5 6 3" xfId="3625" xr:uid="{501315A4-1A82-4ABC-95C9-363F771F46F1}"/>
    <cellStyle name="Note 5 7" xfId="1507" xr:uid="{00000000-0005-0000-0000-0000EC050000}"/>
    <cellStyle name="Note 5 7 2" xfId="5700" xr:uid="{2BDDD783-3DA3-4373-B62D-A0437E327A91}"/>
    <cellStyle name="Note 5 7 3" xfId="3626" xr:uid="{BA2CA64B-4AC9-43C7-9587-97570004EC9A}"/>
    <cellStyle name="Note 5 8" xfId="1508" xr:uid="{00000000-0005-0000-0000-0000ED050000}"/>
    <cellStyle name="Note 5 8 2" xfId="5701" xr:uid="{2722EA0B-9AB1-498D-8BC2-71EBB3E91DE6}"/>
    <cellStyle name="Note 5 8 3" xfId="3627" xr:uid="{4E7DA293-4A81-41AB-950C-A053430C5BA1}"/>
    <cellStyle name="Note 5 9" xfId="1509" xr:uid="{00000000-0005-0000-0000-0000EE050000}"/>
    <cellStyle name="Note 5 9 2" xfId="5702" xr:uid="{0E0347DD-2D76-4A69-A736-63F584901D0B}"/>
    <cellStyle name="Note 5 9 3" xfId="3628" xr:uid="{E7D0BE34-8DE6-4877-B2D6-CBE6D4762D1E}"/>
    <cellStyle name="Note 6" xfId="1510" xr:uid="{00000000-0005-0000-0000-0000EF050000}"/>
    <cellStyle name="Note 6 10" xfId="1511" xr:uid="{00000000-0005-0000-0000-0000F0050000}"/>
    <cellStyle name="Note 6 10 2" xfId="5704" xr:uid="{0409091A-C64D-4364-80C6-13A9694D1A33}"/>
    <cellStyle name="Note 6 10 3" xfId="3630" xr:uid="{E4A29B9A-E058-4001-A62A-24E39F76C2F8}"/>
    <cellStyle name="Note 6 11" xfId="1512" xr:uid="{00000000-0005-0000-0000-0000F1050000}"/>
    <cellStyle name="Note 6 11 2" xfId="5705" xr:uid="{2D4A4F96-9579-4FC0-BEF0-ACD77B204C95}"/>
    <cellStyle name="Note 6 11 3" xfId="3631" xr:uid="{BD4AA821-833B-4910-9711-8BAD41E6D301}"/>
    <cellStyle name="Note 6 12" xfId="1513" xr:uid="{00000000-0005-0000-0000-0000F2050000}"/>
    <cellStyle name="Note 6 12 2" xfId="5706" xr:uid="{E3BA47AD-8C65-41AA-B59B-8B8ABC462C31}"/>
    <cellStyle name="Note 6 12 3" xfId="3632" xr:uid="{73D3B067-2951-46C6-811B-9723B91E1290}"/>
    <cellStyle name="Note 6 13" xfId="1514" xr:uid="{00000000-0005-0000-0000-0000F3050000}"/>
    <cellStyle name="Note 6 13 2" xfId="5707" xr:uid="{4EA46BC1-A8EB-4549-92BC-F11FCC298C13}"/>
    <cellStyle name="Note 6 13 3" xfId="3633" xr:uid="{1C5BD423-EC85-4CB7-BC2C-9FA6F890B378}"/>
    <cellStyle name="Note 6 14" xfId="1515" xr:uid="{00000000-0005-0000-0000-0000F4050000}"/>
    <cellStyle name="Note 6 14 2" xfId="5708" xr:uid="{FD432015-3312-4527-8E2E-473E4B3AB261}"/>
    <cellStyle name="Note 6 14 3" xfId="3634" xr:uid="{1E676202-A0E4-4240-9103-075554319BE6}"/>
    <cellStyle name="Note 6 15" xfId="1516" xr:uid="{00000000-0005-0000-0000-0000F5050000}"/>
    <cellStyle name="Note 6 15 2" xfId="5709" xr:uid="{B8D70FEA-C12E-4819-AF19-593D3793187D}"/>
    <cellStyle name="Note 6 15 3" xfId="3635" xr:uid="{11A9AC4E-138A-4030-A8D6-D3AF6C698FF6}"/>
    <cellStyle name="Note 6 16" xfId="1517" xr:uid="{00000000-0005-0000-0000-0000F6050000}"/>
    <cellStyle name="Note 6 16 2" xfId="5710" xr:uid="{94B37700-5BF0-4B72-8629-D5D784AF9298}"/>
    <cellStyle name="Note 6 16 3" xfId="3636" xr:uid="{6E52334C-3EF9-4648-A33E-9B996BC99C69}"/>
    <cellStyle name="Note 6 17" xfId="1518" xr:uid="{00000000-0005-0000-0000-0000F7050000}"/>
    <cellStyle name="Note 6 17 2" xfId="5711" xr:uid="{156D8FC0-224C-47D6-BF0E-034ADD82B5E5}"/>
    <cellStyle name="Note 6 17 3" xfId="3637" xr:uid="{AC2AA52C-EBA8-4B91-B450-A4D28431ED2F}"/>
    <cellStyle name="Note 6 18" xfId="1519" xr:uid="{00000000-0005-0000-0000-0000F8050000}"/>
    <cellStyle name="Note 6 18 2" xfId="5712" xr:uid="{90A56FB4-F613-423C-8637-B05BACC0E51A}"/>
    <cellStyle name="Note 6 18 3" xfId="3638" xr:uid="{0430D975-12D5-4948-9F8E-23BADF762D6A}"/>
    <cellStyle name="Note 6 19" xfId="1520" xr:uid="{00000000-0005-0000-0000-0000F9050000}"/>
    <cellStyle name="Note 6 19 2" xfId="5713" xr:uid="{729692B7-032C-43B7-A741-A8055221A407}"/>
    <cellStyle name="Note 6 19 3" xfId="3639" xr:uid="{DB89E6A5-3910-44F7-984C-37BA7274E681}"/>
    <cellStyle name="Note 6 2" xfId="1521" xr:uid="{00000000-0005-0000-0000-0000FA050000}"/>
    <cellStyle name="Note 6 2 2" xfId="5714" xr:uid="{1F7FC803-D148-4A98-A9F0-22A2A522E832}"/>
    <cellStyle name="Note 6 2 3" xfId="3640" xr:uid="{CD6DC995-2804-41AC-A6AF-7867093133DD}"/>
    <cellStyle name="Note 6 20" xfId="1522" xr:uid="{00000000-0005-0000-0000-0000FB050000}"/>
    <cellStyle name="Note 6 20 2" xfId="5715" xr:uid="{9497508A-F2C7-4FB0-8B2E-01A4534243D2}"/>
    <cellStyle name="Note 6 20 3" xfId="3641" xr:uid="{B52D15FC-A81B-400C-A333-292994AB028B}"/>
    <cellStyle name="Note 6 21" xfId="1523" xr:uid="{00000000-0005-0000-0000-0000FC050000}"/>
    <cellStyle name="Note 6 21 2" xfId="5716" xr:uid="{24317DB5-06BE-46A8-AE4A-E1A9921F2034}"/>
    <cellStyle name="Note 6 21 3" xfId="3642" xr:uid="{5B5CA25D-203E-498D-B360-D8C6685AD00C}"/>
    <cellStyle name="Note 6 22" xfId="1524" xr:uid="{00000000-0005-0000-0000-0000FD050000}"/>
    <cellStyle name="Note 6 22 2" xfId="5717" xr:uid="{231B3F21-5E59-4170-A239-9D2B30B0E7F7}"/>
    <cellStyle name="Note 6 22 3" xfId="3643" xr:uid="{0E642512-8243-4C81-8F79-000F9B81E580}"/>
    <cellStyle name="Note 6 23" xfId="1525" xr:uid="{00000000-0005-0000-0000-0000FE050000}"/>
    <cellStyle name="Note 6 23 2" xfId="5718" xr:uid="{0A0D8D04-E236-44ED-A6A5-899A786D6924}"/>
    <cellStyle name="Note 6 23 3" xfId="3644" xr:uid="{5E8A7C09-62EB-4910-9FCC-75559CE40DC3}"/>
    <cellStyle name="Note 6 24" xfId="1526" xr:uid="{00000000-0005-0000-0000-0000FF050000}"/>
    <cellStyle name="Note 6 24 2" xfId="5719" xr:uid="{B4FC9315-79D6-4131-8AF9-A098D03A3DFC}"/>
    <cellStyle name="Note 6 24 3" xfId="3645" xr:uid="{4F761A98-E6D9-4438-8683-80658969F500}"/>
    <cellStyle name="Note 6 25" xfId="1527" xr:uid="{00000000-0005-0000-0000-000000060000}"/>
    <cellStyle name="Note 6 25 2" xfId="5720" xr:uid="{B78603C9-5D22-44CD-98F5-244FDF15074C}"/>
    <cellStyle name="Note 6 25 3" xfId="3646" xr:uid="{21A025C0-72C5-41D6-AD6F-0C242416D170}"/>
    <cellStyle name="Note 6 26" xfId="1528" xr:uid="{00000000-0005-0000-0000-000001060000}"/>
    <cellStyle name="Note 6 26 2" xfId="5721" xr:uid="{B4CC742F-ECE2-446B-B729-D305430E2D5D}"/>
    <cellStyle name="Note 6 26 3" xfId="3647" xr:uid="{0B1B9FC4-F4A8-4F8D-80BB-FB4AC2184AD1}"/>
    <cellStyle name="Note 6 27" xfId="1529" xr:uid="{00000000-0005-0000-0000-000002060000}"/>
    <cellStyle name="Note 6 27 2" xfId="5722" xr:uid="{EA839234-5276-44F4-A8F1-A4E17AEED8DC}"/>
    <cellStyle name="Note 6 27 3" xfId="3648" xr:uid="{CCFABF80-EC0B-4A1F-B92C-0632F213F33A}"/>
    <cellStyle name="Note 6 28" xfId="1530" xr:uid="{00000000-0005-0000-0000-000003060000}"/>
    <cellStyle name="Note 6 28 2" xfId="5723" xr:uid="{8F098840-F7AD-4693-9EDC-01B729E09994}"/>
    <cellStyle name="Note 6 28 3" xfId="3649" xr:uid="{338832A0-8E80-426F-B0A8-E27AF717E2D1}"/>
    <cellStyle name="Note 6 29" xfId="1531" xr:uid="{00000000-0005-0000-0000-000004060000}"/>
    <cellStyle name="Note 6 29 2" xfId="5724" xr:uid="{D301C8B9-5FA1-4CB1-ACE1-73652826B9AB}"/>
    <cellStyle name="Note 6 29 3" xfId="3650" xr:uid="{D46A58BC-222F-4494-A7B8-C84423FAF963}"/>
    <cellStyle name="Note 6 3" xfId="1532" xr:uid="{00000000-0005-0000-0000-000005060000}"/>
    <cellStyle name="Note 6 3 2" xfId="5725" xr:uid="{8F254F9F-548D-4647-B204-A0F1980A32D7}"/>
    <cellStyle name="Note 6 3 3" xfId="3651" xr:uid="{2F44B2BF-6498-45D0-BC13-99D443159DA0}"/>
    <cellStyle name="Note 6 30" xfId="5703" xr:uid="{61AB264F-355A-48A8-86B5-3B9674D4DB22}"/>
    <cellStyle name="Note 6 31" xfId="3629" xr:uid="{E11F7DED-82B8-4D3F-9F5C-9DA170A63303}"/>
    <cellStyle name="Note 6 4" xfId="1533" xr:uid="{00000000-0005-0000-0000-000006060000}"/>
    <cellStyle name="Note 6 4 2" xfId="5726" xr:uid="{AC907BFE-62E6-4944-9F7E-6151EE380EF8}"/>
    <cellStyle name="Note 6 4 3" xfId="3652" xr:uid="{A33EEF6D-6D4B-4989-B46D-BB6FC050E16E}"/>
    <cellStyle name="Note 6 5" xfId="1534" xr:uid="{00000000-0005-0000-0000-000007060000}"/>
    <cellStyle name="Note 6 5 2" xfId="5727" xr:uid="{1981405E-02A2-4435-9107-FA4802805093}"/>
    <cellStyle name="Note 6 5 3" xfId="3653" xr:uid="{4B1592EA-06C9-452D-B762-1E612B9BA901}"/>
    <cellStyle name="Note 6 6" xfId="1535" xr:uid="{00000000-0005-0000-0000-000008060000}"/>
    <cellStyle name="Note 6 6 2" xfId="5728" xr:uid="{1F8B6AF7-E0E3-4B5D-A2AC-08011A7C5074}"/>
    <cellStyle name="Note 6 6 3" xfId="3654" xr:uid="{22D2F5CB-7477-4D9F-8ED2-59740393AEB1}"/>
    <cellStyle name="Note 6 7" xfId="1536" xr:uid="{00000000-0005-0000-0000-000009060000}"/>
    <cellStyle name="Note 6 7 2" xfId="5729" xr:uid="{38E3FD11-FEF2-4200-8307-016D970E7D3A}"/>
    <cellStyle name="Note 6 7 3" xfId="3655" xr:uid="{9563A4CC-5445-4B4A-B5CF-00CC64145B6A}"/>
    <cellStyle name="Note 6 8" xfId="1537" xr:uid="{00000000-0005-0000-0000-00000A060000}"/>
    <cellStyle name="Note 6 8 2" xfId="5730" xr:uid="{4BE2B644-1DD8-4ED2-B998-17D351B7AEBE}"/>
    <cellStyle name="Note 6 8 3" xfId="3656" xr:uid="{CF5651AF-E670-4463-BEC6-D7686FCD3A15}"/>
    <cellStyle name="Note 6 9" xfId="1538" xr:uid="{00000000-0005-0000-0000-00000B060000}"/>
    <cellStyle name="Note 6 9 2" xfId="5731" xr:uid="{6A3D1CC7-34F3-44AB-9B42-B069BEEAACD0}"/>
    <cellStyle name="Note 6 9 3" xfId="3657" xr:uid="{7EA0D7F4-0A30-4970-9931-9CE4E7B2BF82}"/>
    <cellStyle name="Output 2" xfId="1539" xr:uid="{00000000-0005-0000-0000-00000C060000}"/>
    <cellStyle name="Output 2 2" xfId="5732" xr:uid="{273B2D3A-A558-43AA-AF03-9C1B53097714}"/>
    <cellStyle name="Output 2 3" xfId="3658" xr:uid="{8768C0C1-A3A0-4594-9529-F3EC4DB3046A}"/>
    <cellStyle name="Output 3" xfId="1540" xr:uid="{00000000-0005-0000-0000-00000D060000}"/>
    <cellStyle name="Output 3 2" xfId="5733" xr:uid="{6AC3DB70-0BAA-4A13-ADFE-FE773D969A65}"/>
    <cellStyle name="Output 3 3" xfId="3659" xr:uid="{EB0D6810-1DA2-4348-9665-D87257AF7612}"/>
    <cellStyle name="Output 4" xfId="1541" xr:uid="{00000000-0005-0000-0000-00000E060000}"/>
    <cellStyle name="Output 4 2" xfId="5734" xr:uid="{4EE8BFE0-7348-4760-A61F-5F35BC674C07}"/>
    <cellStyle name="Output 4 3" xfId="3660" xr:uid="{02B1DD78-F307-4739-996A-ECD74BB60463}"/>
    <cellStyle name="Output 5" xfId="1542" xr:uid="{00000000-0005-0000-0000-00000F060000}"/>
    <cellStyle name="Output 5 2" xfId="5735" xr:uid="{91970115-90D9-4C7B-8625-B92E2E2202F0}"/>
    <cellStyle name="Output 5 3" xfId="3661" xr:uid="{D26EDC79-439F-4D84-8840-3773B20F42E5}"/>
    <cellStyle name="Output 6" xfId="1543" xr:uid="{00000000-0005-0000-0000-000010060000}"/>
    <cellStyle name="Output 6 2" xfId="5736" xr:uid="{3BA94B40-3882-47DD-8A27-D0E9F4D99D77}"/>
    <cellStyle name="Output 6 3" xfId="3662" xr:uid="{2ACD8362-E81A-44DE-8206-B0C64D25048F}"/>
    <cellStyle name="ozzy" xfId="1544" xr:uid="{00000000-0005-0000-0000-000011060000}"/>
    <cellStyle name="ozzy 2" xfId="1545" xr:uid="{00000000-0005-0000-0000-000012060000}"/>
    <cellStyle name="ozzy 2 10" xfId="1546" xr:uid="{00000000-0005-0000-0000-000013060000}"/>
    <cellStyle name="ozzy 2 10 2" xfId="5739" xr:uid="{0D9C2F09-9EE8-4E0F-A84B-7D0501E066F7}"/>
    <cellStyle name="ozzy 2 10 3" xfId="3665" xr:uid="{C252AA81-5520-43FD-B364-0AF3427801C6}"/>
    <cellStyle name="ozzy 2 11" xfId="1547" xr:uid="{00000000-0005-0000-0000-000014060000}"/>
    <cellStyle name="ozzy 2 11 2" xfId="5740" xr:uid="{90518E2E-A4FD-4206-BDE0-22937310BA4C}"/>
    <cellStyle name="ozzy 2 11 3" xfId="3666" xr:uid="{665DCBE3-487C-45BA-934B-B0FCEAB97E38}"/>
    <cellStyle name="ozzy 2 12" xfId="1548" xr:uid="{00000000-0005-0000-0000-000015060000}"/>
    <cellStyle name="ozzy 2 12 2" xfId="5741" xr:uid="{C0DE6568-01A7-440C-99D9-EBDA14895D86}"/>
    <cellStyle name="ozzy 2 12 3" xfId="3667" xr:uid="{88A7BF70-03FF-4420-AAF2-37F049951E6A}"/>
    <cellStyle name="ozzy 2 13" xfId="1549" xr:uid="{00000000-0005-0000-0000-000016060000}"/>
    <cellStyle name="ozzy 2 13 2" xfId="5742" xr:uid="{BCE65140-4FCD-46CD-8BE0-E2AAABD38D5C}"/>
    <cellStyle name="ozzy 2 13 3" xfId="3668" xr:uid="{C686B9B8-E4D5-4B93-ABEF-2A6ECF554C68}"/>
    <cellStyle name="ozzy 2 14" xfId="1550" xr:uid="{00000000-0005-0000-0000-000017060000}"/>
    <cellStyle name="ozzy 2 14 2" xfId="5743" xr:uid="{85870A53-D9D3-433B-996E-E3C5696215CB}"/>
    <cellStyle name="ozzy 2 14 3" xfId="3669" xr:uid="{EAEB0721-C62B-4294-916E-02A4AF2113E5}"/>
    <cellStyle name="ozzy 2 15" xfId="1551" xr:uid="{00000000-0005-0000-0000-000018060000}"/>
    <cellStyle name="ozzy 2 15 2" xfId="5744" xr:uid="{542F86FE-E81A-4541-AFB6-91A2C400EEB9}"/>
    <cellStyle name="ozzy 2 15 3" xfId="3670" xr:uid="{17550920-27D3-42FF-870A-A6111C72C3E8}"/>
    <cellStyle name="ozzy 2 16" xfId="1552" xr:uid="{00000000-0005-0000-0000-000019060000}"/>
    <cellStyle name="ozzy 2 16 2" xfId="5745" xr:uid="{80822013-8DA6-4C46-B0C2-348B494FBFDB}"/>
    <cellStyle name="ozzy 2 16 3" xfId="3671" xr:uid="{8A66C719-3DFD-4DBB-99E0-52C29981F807}"/>
    <cellStyle name="ozzy 2 17" xfId="1553" xr:uid="{00000000-0005-0000-0000-00001A060000}"/>
    <cellStyle name="ozzy 2 17 2" xfId="5746" xr:uid="{5322F188-928F-4E74-B8AC-FAAC0F8B050F}"/>
    <cellStyle name="ozzy 2 17 3" xfId="3672" xr:uid="{9AFEA99F-9830-4E3C-B3B2-F2B0E129FEEC}"/>
    <cellStyle name="ozzy 2 18" xfId="1554" xr:uid="{00000000-0005-0000-0000-00001B060000}"/>
    <cellStyle name="ozzy 2 18 2" xfId="5747" xr:uid="{3E9F596A-2717-46FD-8256-F7B1CF167F99}"/>
    <cellStyle name="ozzy 2 18 3" xfId="3673" xr:uid="{F21144B8-7AC3-4E16-A09B-114627571503}"/>
    <cellStyle name="ozzy 2 19" xfId="1555" xr:uid="{00000000-0005-0000-0000-00001C060000}"/>
    <cellStyle name="ozzy 2 19 2" xfId="5748" xr:uid="{843518F1-9390-4C78-82DD-191C8B488579}"/>
    <cellStyle name="ozzy 2 19 3" xfId="3674" xr:uid="{299EDC63-5CED-488B-9ED7-FAE4249C4A3E}"/>
    <cellStyle name="ozzy 2 2" xfId="1556" xr:uid="{00000000-0005-0000-0000-00001D060000}"/>
    <cellStyle name="ozzy 2 2 2" xfId="5749" xr:uid="{C2519426-C8D2-48F8-BF4B-6DC9330B6D96}"/>
    <cellStyle name="ozzy 2 2 3" xfId="3675" xr:uid="{A1C37276-9BFD-42FC-97A3-402200F3E968}"/>
    <cellStyle name="ozzy 2 20" xfId="1557" xr:uid="{00000000-0005-0000-0000-00001E060000}"/>
    <cellStyle name="ozzy 2 20 2" xfId="5750" xr:uid="{C6AAE54F-0DA0-429E-A5D6-56F97B9B18DA}"/>
    <cellStyle name="ozzy 2 20 3" xfId="3676" xr:uid="{5077086F-73F5-418D-83B7-A0B5470198BD}"/>
    <cellStyle name="ozzy 2 21" xfId="1558" xr:uid="{00000000-0005-0000-0000-00001F060000}"/>
    <cellStyle name="ozzy 2 21 2" xfId="5751" xr:uid="{C5465471-5064-40F8-86F8-9018D8F50B0B}"/>
    <cellStyle name="ozzy 2 21 3" xfId="3677" xr:uid="{D5BE5615-3B44-4203-98BE-43D946B1BB5E}"/>
    <cellStyle name="ozzy 2 22" xfId="1559" xr:uid="{00000000-0005-0000-0000-000020060000}"/>
    <cellStyle name="ozzy 2 22 2" xfId="5752" xr:uid="{41618AFE-8058-4792-964E-F069F2C220CE}"/>
    <cellStyle name="ozzy 2 22 3" xfId="3678" xr:uid="{71F90F51-6D37-4986-BAB0-7C6D8FAA2163}"/>
    <cellStyle name="ozzy 2 23" xfId="1560" xr:uid="{00000000-0005-0000-0000-000021060000}"/>
    <cellStyle name="ozzy 2 23 2" xfId="5753" xr:uid="{862E4285-08D3-47A5-82A2-010AC91B54A5}"/>
    <cellStyle name="ozzy 2 23 3" xfId="3679" xr:uid="{81D02CA7-3C4F-454B-A237-A96853174228}"/>
    <cellStyle name="ozzy 2 24" xfId="1561" xr:uid="{00000000-0005-0000-0000-000022060000}"/>
    <cellStyle name="ozzy 2 24 2" xfId="5754" xr:uid="{3E6ED628-F333-47B3-8EEA-685334EB5EAC}"/>
    <cellStyle name="ozzy 2 24 3" xfId="3680" xr:uid="{F33B14EF-F689-478E-8B84-CB527055448D}"/>
    <cellStyle name="ozzy 2 25" xfId="1562" xr:uid="{00000000-0005-0000-0000-000023060000}"/>
    <cellStyle name="ozzy 2 25 2" xfId="5755" xr:uid="{F071D4E1-0F36-4858-9F71-48F0253F9451}"/>
    <cellStyle name="ozzy 2 25 3" xfId="3681" xr:uid="{A227886C-422E-4539-87A4-A3C68ED132DF}"/>
    <cellStyle name="ozzy 2 26" xfId="1563" xr:uid="{00000000-0005-0000-0000-000024060000}"/>
    <cellStyle name="ozzy 2 26 2" xfId="5756" xr:uid="{371EEF3D-C2E8-41D7-9F06-A30D8E6BA2DA}"/>
    <cellStyle name="ozzy 2 26 3" xfId="3682" xr:uid="{F96A34C9-AE28-43E0-BA93-E0EB9AEC9B49}"/>
    <cellStyle name="ozzy 2 27" xfId="1564" xr:uid="{00000000-0005-0000-0000-000025060000}"/>
    <cellStyle name="ozzy 2 27 2" xfId="5757" xr:uid="{03B00F72-2292-4E99-BA92-603067F22601}"/>
    <cellStyle name="ozzy 2 27 3" xfId="3683" xr:uid="{58214415-71EC-4C76-B477-8CE19C3AD731}"/>
    <cellStyle name="ozzy 2 28" xfId="1565" xr:uid="{00000000-0005-0000-0000-000026060000}"/>
    <cellStyle name="ozzy 2 28 2" xfId="5758" xr:uid="{A87A225C-A908-4E7D-B172-BB308EDF767F}"/>
    <cellStyle name="ozzy 2 28 3" xfId="3684" xr:uid="{D86BFF05-0D11-4BC1-B96A-9FA6E380CED0}"/>
    <cellStyle name="ozzy 2 29" xfId="1566" xr:uid="{00000000-0005-0000-0000-000027060000}"/>
    <cellStyle name="ozzy 2 29 2" xfId="5759" xr:uid="{B1FBD68F-115D-4784-B1D0-C8A37EABF312}"/>
    <cellStyle name="ozzy 2 29 3" xfId="3685" xr:uid="{2A6B90F1-3288-43B9-9D10-C5F5332A0A53}"/>
    <cellStyle name="ozzy 2 3" xfId="1567" xr:uid="{00000000-0005-0000-0000-000028060000}"/>
    <cellStyle name="ozzy 2 3 2" xfId="5760" xr:uid="{19C6357A-5436-42B7-B0D3-FE446985DBA6}"/>
    <cellStyle name="ozzy 2 3 3" xfId="3686" xr:uid="{3720BD8E-CCC8-44C3-8E0D-DD9F71CEBB1F}"/>
    <cellStyle name="ozzy 2 30" xfId="5738" xr:uid="{F8E2E303-FA33-4E25-8349-70D4C29CD124}"/>
    <cellStyle name="ozzy 2 31" xfId="3664" xr:uid="{187D11B7-6DEA-4057-9F41-DBE2926A1A57}"/>
    <cellStyle name="ozzy 2 4" xfId="1568" xr:uid="{00000000-0005-0000-0000-000029060000}"/>
    <cellStyle name="ozzy 2 4 2" xfId="5761" xr:uid="{4FFA6548-FE26-4731-B086-7036FE2C4A2B}"/>
    <cellStyle name="ozzy 2 4 3" xfId="3687" xr:uid="{8F1CE765-78EE-4180-9715-0294051146FD}"/>
    <cellStyle name="ozzy 2 5" xfId="1569" xr:uid="{00000000-0005-0000-0000-00002A060000}"/>
    <cellStyle name="ozzy 2 5 2" xfId="5762" xr:uid="{1D816EBA-5CBB-42CC-B732-321BC291FFED}"/>
    <cellStyle name="ozzy 2 5 3" xfId="3688" xr:uid="{C3FB01CB-ACBF-4B64-95F0-44CF3D44BBFB}"/>
    <cellStyle name="ozzy 2 6" xfId="1570" xr:uid="{00000000-0005-0000-0000-00002B060000}"/>
    <cellStyle name="ozzy 2 6 2" xfId="5763" xr:uid="{678EE347-700F-4C42-B32F-E244BC2F1B84}"/>
    <cellStyle name="ozzy 2 6 3" xfId="3689" xr:uid="{5A4147C7-23BD-43DA-9164-B7DFDD80473A}"/>
    <cellStyle name="ozzy 2 7" xfId="1571" xr:uid="{00000000-0005-0000-0000-00002C060000}"/>
    <cellStyle name="ozzy 2 7 2" xfId="5764" xr:uid="{29FE0B67-29BD-4362-8D34-FDAAFD58F612}"/>
    <cellStyle name="ozzy 2 7 3" xfId="3690" xr:uid="{6229EB45-7823-419B-8B0D-925E45611FF2}"/>
    <cellStyle name="ozzy 2 8" xfId="1572" xr:uid="{00000000-0005-0000-0000-00002D060000}"/>
    <cellStyle name="ozzy 2 8 2" xfId="5765" xr:uid="{D8FA221B-4C55-4B1D-A3B5-750C3E697BF3}"/>
    <cellStyle name="ozzy 2 8 3" xfId="3691" xr:uid="{90C1866B-5C6E-426C-8410-D7054537C50C}"/>
    <cellStyle name="ozzy 2 9" xfId="1573" xr:uid="{00000000-0005-0000-0000-00002E060000}"/>
    <cellStyle name="ozzy 2 9 2" xfId="5766" xr:uid="{837E5F5F-6A35-41C8-AD9B-AFB81D2CC023}"/>
    <cellStyle name="ozzy 2 9 3" xfId="3692" xr:uid="{FF20EC8C-F2A8-459A-9E1A-B1D84A4631D7}"/>
    <cellStyle name="ozzy 3" xfId="1574" xr:uid="{00000000-0005-0000-0000-00002F060000}"/>
    <cellStyle name="ozzy 3 10" xfId="1575" xr:uid="{00000000-0005-0000-0000-000030060000}"/>
    <cellStyle name="ozzy 3 10 2" xfId="5768" xr:uid="{39D828B3-E9E8-44FF-A68A-117901981898}"/>
    <cellStyle name="ozzy 3 10 3" xfId="3694" xr:uid="{3DBC7BCA-BB4B-48B9-8D76-42B0BB341927}"/>
    <cellStyle name="ozzy 3 11" xfId="1576" xr:uid="{00000000-0005-0000-0000-000031060000}"/>
    <cellStyle name="ozzy 3 11 2" xfId="5769" xr:uid="{BB274A24-8C61-466E-B538-B7250DA03E63}"/>
    <cellStyle name="ozzy 3 11 3" xfId="3695" xr:uid="{34B73C8B-66AA-4770-92DC-06390C7765D3}"/>
    <cellStyle name="ozzy 3 12" xfId="1577" xr:uid="{00000000-0005-0000-0000-000032060000}"/>
    <cellStyle name="ozzy 3 12 2" xfId="5770" xr:uid="{0A85CCE3-409F-4D5B-BA11-A6A9B8CC1D6D}"/>
    <cellStyle name="ozzy 3 12 3" xfId="3696" xr:uid="{303DD5EE-C20F-409D-AC02-B8D23EA0C925}"/>
    <cellStyle name="ozzy 3 13" xfId="1578" xr:uid="{00000000-0005-0000-0000-000033060000}"/>
    <cellStyle name="ozzy 3 13 2" xfId="5771" xr:uid="{96A91A15-D91B-4EC1-BD6B-03B62E627E7A}"/>
    <cellStyle name="ozzy 3 13 3" xfId="3697" xr:uid="{F31F8E1B-68DD-49B7-A9D6-BFB95B9294FC}"/>
    <cellStyle name="ozzy 3 14" xfId="1579" xr:uid="{00000000-0005-0000-0000-000034060000}"/>
    <cellStyle name="ozzy 3 14 2" xfId="5772" xr:uid="{9071987E-4F51-43F9-8297-AC1E9B57BE05}"/>
    <cellStyle name="ozzy 3 14 3" xfId="3698" xr:uid="{F2859267-7773-4968-8DBD-DFC63D0349DD}"/>
    <cellStyle name="ozzy 3 15" xfId="1580" xr:uid="{00000000-0005-0000-0000-000035060000}"/>
    <cellStyle name="ozzy 3 15 2" xfId="5773" xr:uid="{7564B009-32AC-44F3-A314-53E0869EE299}"/>
    <cellStyle name="ozzy 3 15 3" xfId="3699" xr:uid="{FD1B4C05-6C20-46B3-8191-A8CE9DBF5432}"/>
    <cellStyle name="ozzy 3 16" xfId="1581" xr:uid="{00000000-0005-0000-0000-000036060000}"/>
    <cellStyle name="ozzy 3 16 2" xfId="5774" xr:uid="{2CB39A0A-4282-4611-BF2C-EF764FDA1AFE}"/>
    <cellStyle name="ozzy 3 16 3" xfId="3700" xr:uid="{CE1A83AE-6BBE-4517-B8AE-C2B3EA090842}"/>
    <cellStyle name="ozzy 3 17" xfId="1582" xr:uid="{00000000-0005-0000-0000-000037060000}"/>
    <cellStyle name="ozzy 3 17 2" xfId="5775" xr:uid="{EB332B0C-940F-47AD-95DB-F352F72DBE97}"/>
    <cellStyle name="ozzy 3 17 3" xfId="3701" xr:uid="{878FEA59-5407-41BE-9A6A-B35104B5B36B}"/>
    <cellStyle name="ozzy 3 18" xfId="1583" xr:uid="{00000000-0005-0000-0000-000038060000}"/>
    <cellStyle name="ozzy 3 18 2" xfId="5776" xr:uid="{AF0BC256-4A9F-4FC1-B14B-EF86D1B3965C}"/>
    <cellStyle name="ozzy 3 18 3" xfId="3702" xr:uid="{8646E2E7-596B-49FE-A29D-50CCF1C89E45}"/>
    <cellStyle name="ozzy 3 19" xfId="1584" xr:uid="{00000000-0005-0000-0000-000039060000}"/>
    <cellStyle name="ozzy 3 19 2" xfId="5777" xr:uid="{C9538DDD-D882-4425-B8E9-8209959FCFA4}"/>
    <cellStyle name="ozzy 3 19 3" xfId="3703" xr:uid="{A4F2212F-524D-4B01-AEE1-FE3F4C541F15}"/>
    <cellStyle name="ozzy 3 2" xfId="1585" xr:uid="{00000000-0005-0000-0000-00003A060000}"/>
    <cellStyle name="ozzy 3 2 2" xfId="5778" xr:uid="{123E8BC5-6F0F-4C5C-B8CB-DC85CD6F6033}"/>
    <cellStyle name="ozzy 3 2 3" xfId="3704" xr:uid="{5A8C0037-46B2-4439-BB28-5824464F1087}"/>
    <cellStyle name="ozzy 3 20" xfId="1586" xr:uid="{00000000-0005-0000-0000-00003B060000}"/>
    <cellStyle name="ozzy 3 20 2" xfId="5779" xr:uid="{9043FB8B-E96F-4D18-8A8D-25C4E9F105A9}"/>
    <cellStyle name="ozzy 3 20 3" xfId="3705" xr:uid="{2040A57C-3746-4E61-9451-0B554F60CC62}"/>
    <cellStyle name="ozzy 3 21" xfId="1587" xr:uid="{00000000-0005-0000-0000-00003C060000}"/>
    <cellStyle name="ozzy 3 21 2" xfId="5780" xr:uid="{90089F86-7875-4EC3-B1E4-FE1886509854}"/>
    <cellStyle name="ozzy 3 21 3" xfId="3706" xr:uid="{99F77580-7245-4869-A7D0-594D239D2A5B}"/>
    <cellStyle name="ozzy 3 22" xfId="1588" xr:uid="{00000000-0005-0000-0000-00003D060000}"/>
    <cellStyle name="ozzy 3 22 2" xfId="5781" xr:uid="{7F0871DB-4C15-4363-9660-D4BBE04650E5}"/>
    <cellStyle name="ozzy 3 22 3" xfId="3707" xr:uid="{F76C6097-88A8-4665-8215-63173D23F3F3}"/>
    <cellStyle name="ozzy 3 23" xfId="1589" xr:uid="{00000000-0005-0000-0000-00003E060000}"/>
    <cellStyle name="ozzy 3 23 2" xfId="5782" xr:uid="{FAB8560A-F915-450D-A014-88CB3CC9D497}"/>
    <cellStyle name="ozzy 3 23 3" xfId="3708" xr:uid="{D2717A50-864B-440E-A3BA-944402784E64}"/>
    <cellStyle name="ozzy 3 24" xfId="1590" xr:uid="{00000000-0005-0000-0000-00003F060000}"/>
    <cellStyle name="ozzy 3 24 2" xfId="5783" xr:uid="{B062933C-75D3-49CF-86C0-1DC9BD5B7D7E}"/>
    <cellStyle name="ozzy 3 24 3" xfId="3709" xr:uid="{B99D99C1-B81A-4B3C-98B4-CBC4A0E56D98}"/>
    <cellStyle name="ozzy 3 25" xfId="1591" xr:uid="{00000000-0005-0000-0000-000040060000}"/>
    <cellStyle name="ozzy 3 25 2" xfId="5784" xr:uid="{3A23C736-A0DB-430A-A24F-F6E7263B967E}"/>
    <cellStyle name="ozzy 3 25 3" xfId="3710" xr:uid="{25D9FA72-5BB2-4FC7-B5CF-155BC7D94A3E}"/>
    <cellStyle name="ozzy 3 26" xfId="1592" xr:uid="{00000000-0005-0000-0000-000041060000}"/>
    <cellStyle name="ozzy 3 26 2" xfId="5785" xr:uid="{3829ADF9-B688-48F8-99F3-571788893C08}"/>
    <cellStyle name="ozzy 3 26 3" xfId="3711" xr:uid="{435C8328-19C1-40D6-AFD3-AC6B18CA49A1}"/>
    <cellStyle name="ozzy 3 27" xfId="1593" xr:uid="{00000000-0005-0000-0000-000042060000}"/>
    <cellStyle name="ozzy 3 27 2" xfId="5786" xr:uid="{AC4B1227-F43A-4D26-A161-BEDA01197586}"/>
    <cellStyle name="ozzy 3 27 3" xfId="3712" xr:uid="{FD86DEA0-EBA3-4679-B737-4B2FB96A6E02}"/>
    <cellStyle name="ozzy 3 28" xfId="1594" xr:uid="{00000000-0005-0000-0000-000043060000}"/>
    <cellStyle name="ozzy 3 28 2" xfId="5787" xr:uid="{7D387FEB-1FF5-4418-A238-AA51C72AF6E3}"/>
    <cellStyle name="ozzy 3 28 3" xfId="3713" xr:uid="{15A50FFF-331E-40F8-B843-1796DBB889FA}"/>
    <cellStyle name="ozzy 3 29" xfId="1595" xr:uid="{00000000-0005-0000-0000-000044060000}"/>
    <cellStyle name="ozzy 3 29 2" xfId="5788" xr:uid="{DDC37422-8617-4D69-AA4D-70F97D1D5070}"/>
    <cellStyle name="ozzy 3 29 3" xfId="3714" xr:uid="{BE075C02-DEBC-41DF-B74A-99EF16A6A654}"/>
    <cellStyle name="ozzy 3 3" xfId="1596" xr:uid="{00000000-0005-0000-0000-000045060000}"/>
    <cellStyle name="ozzy 3 3 2" xfId="5789" xr:uid="{F67FAFF9-FBD1-409B-9CF7-D134EF5EB7F7}"/>
    <cellStyle name="ozzy 3 3 3" xfId="3715" xr:uid="{F4D48923-34B1-4AA4-8979-7F99FBB10328}"/>
    <cellStyle name="ozzy 3 30" xfId="5767" xr:uid="{E96BF440-F4C0-43DC-89FD-D757C04EB4D2}"/>
    <cellStyle name="ozzy 3 31" xfId="3693" xr:uid="{13DE39DA-A03C-4975-836F-D6EB69D8E265}"/>
    <cellStyle name="ozzy 3 4" xfId="1597" xr:uid="{00000000-0005-0000-0000-000046060000}"/>
    <cellStyle name="ozzy 3 4 2" xfId="5790" xr:uid="{165F9EFF-DF68-487C-87AC-A2188927A2C9}"/>
    <cellStyle name="ozzy 3 4 3" xfId="3716" xr:uid="{E9B2480B-DB2D-40E8-8EA2-5A6153F16F2D}"/>
    <cellStyle name="ozzy 3 5" xfId="1598" xr:uid="{00000000-0005-0000-0000-000047060000}"/>
    <cellStyle name="ozzy 3 5 2" xfId="5791" xr:uid="{18412E72-58F3-4DF2-AC08-502AC649A7B9}"/>
    <cellStyle name="ozzy 3 5 3" xfId="3717" xr:uid="{F50F90BE-D42C-4D78-A017-3EFA17FDBDEE}"/>
    <cellStyle name="ozzy 3 6" xfId="1599" xr:uid="{00000000-0005-0000-0000-000048060000}"/>
    <cellStyle name="ozzy 3 6 2" xfId="5792" xr:uid="{5DEE08D3-416F-40C2-828B-24EBF9D4CC56}"/>
    <cellStyle name="ozzy 3 6 3" xfId="3718" xr:uid="{0FFB5EDE-7EFB-4DED-A4AB-B08F49B4C67B}"/>
    <cellStyle name="ozzy 3 7" xfId="1600" xr:uid="{00000000-0005-0000-0000-000049060000}"/>
    <cellStyle name="ozzy 3 7 2" xfId="5793" xr:uid="{EE6DFAB2-7C5A-4ABC-B9A9-44BAFEC9495A}"/>
    <cellStyle name="ozzy 3 7 3" xfId="3719" xr:uid="{42BE5043-B829-4E99-A81C-8E8E7F7B6AA5}"/>
    <cellStyle name="ozzy 3 8" xfId="1601" xr:uid="{00000000-0005-0000-0000-00004A060000}"/>
    <cellStyle name="ozzy 3 8 2" xfId="5794" xr:uid="{B61552B6-A637-47C0-AF21-F2EC19F97C24}"/>
    <cellStyle name="ozzy 3 8 3" xfId="3720" xr:uid="{09E03E35-4E4F-44F7-999D-941C9C89F0A7}"/>
    <cellStyle name="ozzy 3 9" xfId="1602" xr:uid="{00000000-0005-0000-0000-00004B060000}"/>
    <cellStyle name="ozzy 3 9 2" xfId="5795" xr:uid="{3E4ED0F5-4A30-4FD3-AB70-483445242927}"/>
    <cellStyle name="ozzy 3 9 3" xfId="3721" xr:uid="{85BB4E59-EC9C-47D0-8CEC-3342F139A24F}"/>
    <cellStyle name="ozzy 4" xfId="1603" xr:uid="{00000000-0005-0000-0000-00004C060000}"/>
    <cellStyle name="ozzy 4 10" xfId="1604" xr:uid="{00000000-0005-0000-0000-00004D060000}"/>
    <cellStyle name="ozzy 4 10 2" xfId="5797" xr:uid="{DFDBBBE6-32EE-42EA-9299-C19AD57C2D82}"/>
    <cellStyle name="ozzy 4 10 3" xfId="3723" xr:uid="{0E8DE033-59C2-4A15-8B4F-FAD14E593FCE}"/>
    <cellStyle name="ozzy 4 11" xfId="1605" xr:uid="{00000000-0005-0000-0000-00004E060000}"/>
    <cellStyle name="ozzy 4 11 2" xfId="5798" xr:uid="{A7D3F9E3-E4C0-4D90-B74E-76B1F9698951}"/>
    <cellStyle name="ozzy 4 11 3" xfId="3724" xr:uid="{9931C25B-AEE9-48A5-BA60-819F0C7AED91}"/>
    <cellStyle name="ozzy 4 12" xfId="1606" xr:uid="{00000000-0005-0000-0000-00004F060000}"/>
    <cellStyle name="ozzy 4 12 2" xfId="5799" xr:uid="{8ECEB150-664E-4B61-B6ED-FF7EDA2A582E}"/>
    <cellStyle name="ozzy 4 12 3" xfId="3725" xr:uid="{AD57E300-36A7-4CFC-BBDB-351EDA990928}"/>
    <cellStyle name="ozzy 4 13" xfId="1607" xr:uid="{00000000-0005-0000-0000-000050060000}"/>
    <cellStyle name="ozzy 4 13 2" xfId="5800" xr:uid="{43D9F30F-D6ED-46E3-B78C-57EA37F42D6B}"/>
    <cellStyle name="ozzy 4 13 3" xfId="3726" xr:uid="{B2C4BC0A-D289-44A8-98F7-2B2D51916FA3}"/>
    <cellStyle name="ozzy 4 14" xfId="1608" xr:uid="{00000000-0005-0000-0000-000051060000}"/>
    <cellStyle name="ozzy 4 14 2" xfId="5801" xr:uid="{01D83BFE-78ED-4D3A-93E9-3F8E9CF1C985}"/>
    <cellStyle name="ozzy 4 14 3" xfId="3727" xr:uid="{D35B2ADD-0585-4134-91F5-0180535401B8}"/>
    <cellStyle name="ozzy 4 15" xfId="1609" xr:uid="{00000000-0005-0000-0000-000052060000}"/>
    <cellStyle name="ozzy 4 15 2" xfId="5802" xr:uid="{8226F80B-BAF8-4B7E-A006-9BD779FC4AAC}"/>
    <cellStyle name="ozzy 4 15 3" xfId="3728" xr:uid="{F4CD88B1-8452-487D-BA96-D1748C59C874}"/>
    <cellStyle name="ozzy 4 16" xfId="1610" xr:uid="{00000000-0005-0000-0000-000053060000}"/>
    <cellStyle name="ozzy 4 16 2" xfId="5803" xr:uid="{EE40BD09-99AD-4411-9A18-3A3B4CBFA534}"/>
    <cellStyle name="ozzy 4 16 3" xfId="3729" xr:uid="{948B040F-E770-4A2F-BAB7-3686C0DEB8A2}"/>
    <cellStyle name="ozzy 4 17" xfId="1611" xr:uid="{00000000-0005-0000-0000-000054060000}"/>
    <cellStyle name="ozzy 4 17 2" xfId="5804" xr:uid="{EAA68476-C348-45EF-8315-AE4E0C7302F0}"/>
    <cellStyle name="ozzy 4 17 3" xfId="3730" xr:uid="{94C8C79F-FCEB-4646-8C29-43047DADBE6E}"/>
    <cellStyle name="ozzy 4 18" xfId="1612" xr:uid="{00000000-0005-0000-0000-000055060000}"/>
    <cellStyle name="ozzy 4 18 2" xfId="5805" xr:uid="{C379135E-A987-4742-AB87-90BBDE173DCE}"/>
    <cellStyle name="ozzy 4 18 3" xfId="3731" xr:uid="{8D596B38-1967-4352-A07A-7D21FE62A9E0}"/>
    <cellStyle name="ozzy 4 19" xfId="1613" xr:uid="{00000000-0005-0000-0000-000056060000}"/>
    <cellStyle name="ozzy 4 19 2" xfId="5806" xr:uid="{92FBE77E-20F2-41C1-840F-A3CCE6041D93}"/>
    <cellStyle name="ozzy 4 19 3" xfId="3732" xr:uid="{4217714B-7803-468A-A426-ACC836CC7E81}"/>
    <cellStyle name="ozzy 4 2" xfId="1614" xr:uid="{00000000-0005-0000-0000-000057060000}"/>
    <cellStyle name="ozzy 4 2 2" xfId="5807" xr:uid="{15F55031-B34D-411F-A692-F91FAB8A3D0F}"/>
    <cellStyle name="ozzy 4 2 3" xfId="3733" xr:uid="{A3DE4A36-01E2-4CF1-BDC7-6C6A36A5F79E}"/>
    <cellStyle name="ozzy 4 20" xfId="1615" xr:uid="{00000000-0005-0000-0000-000058060000}"/>
    <cellStyle name="ozzy 4 20 2" xfId="5808" xr:uid="{E29B1667-68DF-44BB-AFE5-B3247D840745}"/>
    <cellStyle name="ozzy 4 20 3" xfId="3734" xr:uid="{3028C2E6-29C0-42AE-A706-F34620485A4A}"/>
    <cellStyle name="ozzy 4 21" xfId="1616" xr:uid="{00000000-0005-0000-0000-000059060000}"/>
    <cellStyle name="ozzy 4 21 2" xfId="5809" xr:uid="{6641B45A-D2DA-4FC4-839E-1C1103DAFE16}"/>
    <cellStyle name="ozzy 4 21 3" xfId="3735" xr:uid="{781242CF-B6DB-488D-B559-93264D54971F}"/>
    <cellStyle name="ozzy 4 22" xfId="1617" xr:uid="{00000000-0005-0000-0000-00005A060000}"/>
    <cellStyle name="ozzy 4 22 2" xfId="5810" xr:uid="{2EC35FF5-11B3-4A29-958F-1BAC59203B1A}"/>
    <cellStyle name="ozzy 4 22 3" xfId="3736" xr:uid="{2C46D5C8-91F5-4CA7-BBEB-1CF54CE812D0}"/>
    <cellStyle name="ozzy 4 23" xfId="1618" xr:uid="{00000000-0005-0000-0000-00005B060000}"/>
    <cellStyle name="ozzy 4 23 2" xfId="5811" xr:uid="{C987534D-F005-4B40-BFB2-DA671F4144E6}"/>
    <cellStyle name="ozzy 4 23 3" xfId="3737" xr:uid="{7504D20A-0558-4A98-A7FC-8605863B85C7}"/>
    <cellStyle name="ozzy 4 24" xfId="1619" xr:uid="{00000000-0005-0000-0000-00005C060000}"/>
    <cellStyle name="ozzy 4 24 2" xfId="5812" xr:uid="{C7AFACD9-FAD5-489C-8F4B-4D6F7F6E3BC4}"/>
    <cellStyle name="ozzy 4 24 3" xfId="3738" xr:uid="{8C8697AB-199A-4F56-8C92-3CEFA31670BE}"/>
    <cellStyle name="ozzy 4 25" xfId="1620" xr:uid="{00000000-0005-0000-0000-00005D060000}"/>
    <cellStyle name="ozzy 4 25 2" xfId="5813" xr:uid="{3E93666A-8887-4850-BDD5-690BE4B57276}"/>
    <cellStyle name="ozzy 4 25 3" xfId="3739" xr:uid="{0701C6BF-FBE2-45E9-B93A-44FC31E94DC5}"/>
    <cellStyle name="ozzy 4 26" xfId="1621" xr:uid="{00000000-0005-0000-0000-00005E060000}"/>
    <cellStyle name="ozzy 4 26 2" xfId="5814" xr:uid="{9574ADB0-CA1B-4C5A-821A-1437E5ACE1DE}"/>
    <cellStyle name="ozzy 4 26 3" xfId="3740" xr:uid="{9D200054-A079-40CC-BB31-C49510D64ECC}"/>
    <cellStyle name="ozzy 4 27" xfId="1622" xr:uid="{00000000-0005-0000-0000-00005F060000}"/>
    <cellStyle name="ozzy 4 27 2" xfId="5815" xr:uid="{FCE2A52E-F512-4697-B80F-F6F9C4DAA871}"/>
    <cellStyle name="ozzy 4 27 3" xfId="3741" xr:uid="{30C0F22A-C9CB-4E92-A678-04987EDB635E}"/>
    <cellStyle name="ozzy 4 28" xfId="1623" xr:uid="{00000000-0005-0000-0000-000060060000}"/>
    <cellStyle name="ozzy 4 28 2" xfId="5816" xr:uid="{E280EDAA-B84F-4207-942D-2918FB0855AC}"/>
    <cellStyle name="ozzy 4 28 3" xfId="3742" xr:uid="{1B6209F5-94EE-4134-86DC-594F7E5A594D}"/>
    <cellStyle name="ozzy 4 29" xfId="1624" xr:uid="{00000000-0005-0000-0000-000061060000}"/>
    <cellStyle name="ozzy 4 29 2" xfId="5817" xr:uid="{7164D20F-BD89-4CF2-B8A4-91CB8C97576C}"/>
    <cellStyle name="ozzy 4 29 3" xfId="3743" xr:uid="{129FCB50-5D31-4471-A901-DE83FE091BF5}"/>
    <cellStyle name="ozzy 4 3" xfId="1625" xr:uid="{00000000-0005-0000-0000-000062060000}"/>
    <cellStyle name="ozzy 4 3 2" xfId="5818" xr:uid="{1F0F3C24-ABB2-4403-87C5-9B48E030928D}"/>
    <cellStyle name="ozzy 4 3 3" xfId="3744" xr:uid="{C4E12685-5792-443E-8047-2B5F46C3CDBE}"/>
    <cellStyle name="ozzy 4 30" xfId="5796" xr:uid="{29DF0FBC-F328-43F4-8227-55D2533ABA5D}"/>
    <cellStyle name="ozzy 4 31" xfId="3722" xr:uid="{448FB886-7D54-4910-B914-B47CDA16D475}"/>
    <cellStyle name="ozzy 4 4" xfId="1626" xr:uid="{00000000-0005-0000-0000-000063060000}"/>
    <cellStyle name="ozzy 4 4 2" xfId="5819" xr:uid="{B6F25877-06A4-4D3C-8E0F-2998B223A22F}"/>
    <cellStyle name="ozzy 4 4 3" xfId="3745" xr:uid="{DAEA767C-249A-4E66-BD6F-D9F56CD602CE}"/>
    <cellStyle name="ozzy 4 5" xfId="1627" xr:uid="{00000000-0005-0000-0000-000064060000}"/>
    <cellStyle name="ozzy 4 5 2" xfId="5820" xr:uid="{6F4F717E-A075-4A09-BDAD-A27092DF01BE}"/>
    <cellStyle name="ozzy 4 5 3" xfId="3746" xr:uid="{2E404CA3-C9D6-4314-A87A-90892BC1D2B2}"/>
    <cellStyle name="ozzy 4 6" xfId="1628" xr:uid="{00000000-0005-0000-0000-000065060000}"/>
    <cellStyle name="ozzy 4 6 2" xfId="5821" xr:uid="{B07D20F2-9AA8-4E84-B334-A64A7D0000DA}"/>
    <cellStyle name="ozzy 4 6 3" xfId="3747" xr:uid="{CBCB28A8-A27E-4F63-9CC5-0D1D7042298A}"/>
    <cellStyle name="ozzy 4 7" xfId="1629" xr:uid="{00000000-0005-0000-0000-000066060000}"/>
    <cellStyle name="ozzy 4 7 2" xfId="5822" xr:uid="{6D3B551E-B264-4B03-AB82-FB9B99E866D4}"/>
    <cellStyle name="ozzy 4 7 3" xfId="3748" xr:uid="{8DA1524A-8C98-4F7C-AADF-94EF03E9E103}"/>
    <cellStyle name="ozzy 4 8" xfId="1630" xr:uid="{00000000-0005-0000-0000-000067060000}"/>
    <cellStyle name="ozzy 4 8 2" xfId="5823" xr:uid="{4C377D03-2E47-4755-9B09-7E3928A461EF}"/>
    <cellStyle name="ozzy 4 8 3" xfId="3749" xr:uid="{5D0781DE-4223-416E-9EFE-F989D0B7E091}"/>
    <cellStyle name="ozzy 4 9" xfId="1631" xr:uid="{00000000-0005-0000-0000-000068060000}"/>
    <cellStyle name="ozzy 4 9 2" xfId="5824" xr:uid="{06597869-0F03-4656-A5BF-AB0CAFC82E44}"/>
    <cellStyle name="ozzy 4 9 3" xfId="3750" xr:uid="{3F3ACF58-8F28-440D-BFA9-763E32890FD0}"/>
    <cellStyle name="ozzy 5" xfId="1632" xr:uid="{00000000-0005-0000-0000-000069060000}"/>
    <cellStyle name="ozzy 5 10" xfId="1633" xr:uid="{00000000-0005-0000-0000-00006A060000}"/>
    <cellStyle name="ozzy 5 10 2" xfId="5826" xr:uid="{FDCFCC03-D2A1-469E-9562-5B82803FF8BE}"/>
    <cellStyle name="ozzy 5 10 3" xfId="3752" xr:uid="{8FCCF1D6-7A83-4500-B5E4-F874C81299F2}"/>
    <cellStyle name="ozzy 5 11" xfId="1634" xr:uid="{00000000-0005-0000-0000-00006B060000}"/>
    <cellStyle name="ozzy 5 11 2" xfId="5827" xr:uid="{74553213-6030-4881-8196-43D8972DFBBC}"/>
    <cellStyle name="ozzy 5 11 3" xfId="3753" xr:uid="{220AB3AF-6CBB-40BD-9D97-C463D2ADA506}"/>
    <cellStyle name="ozzy 5 12" xfId="1635" xr:uid="{00000000-0005-0000-0000-00006C060000}"/>
    <cellStyle name="ozzy 5 12 2" xfId="5828" xr:uid="{0635D288-CD20-453A-AEB2-65D5B671CD6F}"/>
    <cellStyle name="ozzy 5 12 3" xfId="3754" xr:uid="{CDE145D3-037E-4272-865D-C15E8DEF0B9A}"/>
    <cellStyle name="ozzy 5 13" xfId="1636" xr:uid="{00000000-0005-0000-0000-00006D060000}"/>
    <cellStyle name="ozzy 5 13 2" xfId="5829" xr:uid="{CE302BA9-EAD2-4C90-ABBD-B23F737CD7F8}"/>
    <cellStyle name="ozzy 5 13 3" xfId="3755" xr:uid="{837353F8-9DCF-4BF9-B90C-5825477CC196}"/>
    <cellStyle name="ozzy 5 14" xfId="1637" xr:uid="{00000000-0005-0000-0000-00006E060000}"/>
    <cellStyle name="ozzy 5 14 2" xfId="5830" xr:uid="{057101CD-56AA-4F7B-885C-8F4B23E4C856}"/>
    <cellStyle name="ozzy 5 14 3" xfId="3756" xr:uid="{BD63911C-3B86-473A-A91A-718F405102A0}"/>
    <cellStyle name="ozzy 5 15" xfId="1638" xr:uid="{00000000-0005-0000-0000-00006F060000}"/>
    <cellStyle name="ozzy 5 15 2" xfId="5831" xr:uid="{B47BED79-48CE-4611-9B50-83E989F3B443}"/>
    <cellStyle name="ozzy 5 15 3" xfId="3757" xr:uid="{45D53AEA-6107-41D8-AE9D-C5C898EB36EB}"/>
    <cellStyle name="ozzy 5 16" xfId="1639" xr:uid="{00000000-0005-0000-0000-000070060000}"/>
    <cellStyle name="ozzy 5 16 2" xfId="5832" xr:uid="{99D670BE-4839-429C-8794-1988858B7D6E}"/>
    <cellStyle name="ozzy 5 16 3" xfId="3758" xr:uid="{629865AC-A945-4688-AAD5-C34A94A85993}"/>
    <cellStyle name="ozzy 5 17" xfId="1640" xr:uid="{00000000-0005-0000-0000-000071060000}"/>
    <cellStyle name="ozzy 5 17 2" xfId="5833" xr:uid="{7D14E9CB-3311-413C-BEB4-61C4973B1A69}"/>
    <cellStyle name="ozzy 5 17 3" xfId="3759" xr:uid="{C46E91F0-BD60-4932-B702-675D0AECE283}"/>
    <cellStyle name="ozzy 5 18" xfId="1641" xr:uid="{00000000-0005-0000-0000-000072060000}"/>
    <cellStyle name="ozzy 5 18 2" xfId="5834" xr:uid="{164640BA-7664-4139-AFCC-D481DB1452B5}"/>
    <cellStyle name="ozzy 5 18 3" xfId="3760" xr:uid="{35A3D4AD-BAB3-407A-9F30-3C08A82C79AB}"/>
    <cellStyle name="ozzy 5 19" xfId="1642" xr:uid="{00000000-0005-0000-0000-000073060000}"/>
    <cellStyle name="ozzy 5 19 2" xfId="5835" xr:uid="{3C2C65C1-13B1-4BC5-B39B-1876CDCE0ED6}"/>
    <cellStyle name="ozzy 5 19 3" xfId="3761" xr:uid="{908B14C4-A669-4085-8005-3978D16D469A}"/>
    <cellStyle name="ozzy 5 2" xfId="1643" xr:uid="{00000000-0005-0000-0000-000074060000}"/>
    <cellStyle name="ozzy 5 2 2" xfId="5836" xr:uid="{8561F648-1C23-4FC1-8E89-F7E026787996}"/>
    <cellStyle name="ozzy 5 2 3" xfId="3762" xr:uid="{24C503DA-63B8-4F78-9C1F-580F88226511}"/>
    <cellStyle name="ozzy 5 20" xfId="1644" xr:uid="{00000000-0005-0000-0000-000075060000}"/>
    <cellStyle name="ozzy 5 20 2" xfId="5837" xr:uid="{BD6950F5-6E46-4CD7-98EB-EFF352FFC422}"/>
    <cellStyle name="ozzy 5 20 3" xfId="3763" xr:uid="{8C255131-F78F-402A-8EA1-2561FC7C353A}"/>
    <cellStyle name="ozzy 5 21" xfId="1645" xr:uid="{00000000-0005-0000-0000-000076060000}"/>
    <cellStyle name="ozzy 5 21 2" xfId="5838" xr:uid="{B0E93786-8882-48CF-97DF-25E044EB2B26}"/>
    <cellStyle name="ozzy 5 21 3" xfId="3764" xr:uid="{157D8F2B-D978-4345-9642-CF324B5B901C}"/>
    <cellStyle name="ozzy 5 22" xfId="1646" xr:uid="{00000000-0005-0000-0000-000077060000}"/>
    <cellStyle name="ozzy 5 22 2" xfId="5839" xr:uid="{7E53AE3A-06D6-4FFD-A5A6-7D9281349108}"/>
    <cellStyle name="ozzy 5 22 3" xfId="3765" xr:uid="{C80CD4AC-4125-4298-AF1A-8C8917C502C3}"/>
    <cellStyle name="ozzy 5 23" xfId="1647" xr:uid="{00000000-0005-0000-0000-000078060000}"/>
    <cellStyle name="ozzy 5 23 2" xfId="5840" xr:uid="{4E2BBE68-C296-42A8-9426-0E8A23996E3A}"/>
    <cellStyle name="ozzy 5 23 3" xfId="3766" xr:uid="{DB8556D2-3F81-4CC5-9CAA-434045F08797}"/>
    <cellStyle name="ozzy 5 24" xfId="1648" xr:uid="{00000000-0005-0000-0000-000079060000}"/>
    <cellStyle name="ozzy 5 24 2" xfId="5841" xr:uid="{D7B20A35-7312-446C-86F8-B71E01273617}"/>
    <cellStyle name="ozzy 5 24 3" xfId="3767" xr:uid="{9F8AE2A7-FAC6-4CF6-863F-BE8E9BA1F7AC}"/>
    <cellStyle name="ozzy 5 25" xfId="1649" xr:uid="{00000000-0005-0000-0000-00007A060000}"/>
    <cellStyle name="ozzy 5 25 2" xfId="5842" xr:uid="{D5F09009-C2A0-4598-84AC-F3BF5571082E}"/>
    <cellStyle name="ozzy 5 25 3" xfId="3768" xr:uid="{674EDC4E-D8DD-48C2-B6BA-853F899D189B}"/>
    <cellStyle name="ozzy 5 26" xfId="1650" xr:uid="{00000000-0005-0000-0000-00007B060000}"/>
    <cellStyle name="ozzy 5 26 2" xfId="5843" xr:uid="{5C19573D-1415-4CF2-9B6D-20E3C722638D}"/>
    <cellStyle name="ozzy 5 26 3" xfId="3769" xr:uid="{8DCC8975-8917-4DF8-B8C8-347D1F43D994}"/>
    <cellStyle name="ozzy 5 27" xfId="1651" xr:uid="{00000000-0005-0000-0000-00007C060000}"/>
    <cellStyle name="ozzy 5 27 2" xfId="5844" xr:uid="{01183529-D563-4267-862C-D37FB6577429}"/>
    <cellStyle name="ozzy 5 27 3" xfId="3770" xr:uid="{0AAB6649-8D53-4082-ADD1-49B52CF078C7}"/>
    <cellStyle name="ozzy 5 28" xfId="1652" xr:uid="{00000000-0005-0000-0000-00007D060000}"/>
    <cellStyle name="ozzy 5 28 2" xfId="5845" xr:uid="{7CDF12E2-65A9-49F8-A5CE-719D10B4E650}"/>
    <cellStyle name="ozzy 5 28 3" xfId="3771" xr:uid="{70BD368E-BF90-4AC7-ABE5-E0C300C3F7A3}"/>
    <cellStyle name="ozzy 5 29" xfId="1653" xr:uid="{00000000-0005-0000-0000-00007E060000}"/>
    <cellStyle name="ozzy 5 29 2" xfId="5846" xr:uid="{EA66EDF4-218D-467C-9372-BF60A2B9CA6A}"/>
    <cellStyle name="ozzy 5 29 3" xfId="3772" xr:uid="{4DED232A-3805-4AAB-94B6-F748D09ECFD8}"/>
    <cellStyle name="ozzy 5 3" xfId="1654" xr:uid="{00000000-0005-0000-0000-00007F060000}"/>
    <cellStyle name="ozzy 5 3 2" xfId="5847" xr:uid="{9EA38F34-C4C0-4754-B641-966423FF3B92}"/>
    <cellStyle name="ozzy 5 3 3" xfId="3773" xr:uid="{0F30C561-3A5F-4C73-8B32-E252CDD82F68}"/>
    <cellStyle name="ozzy 5 30" xfId="5825" xr:uid="{FC4C7BCD-9711-4958-A744-054CF97C00CF}"/>
    <cellStyle name="ozzy 5 31" xfId="3751" xr:uid="{F238C57A-0809-4B8F-96AF-D4A5D9C6836C}"/>
    <cellStyle name="ozzy 5 4" xfId="1655" xr:uid="{00000000-0005-0000-0000-000080060000}"/>
    <cellStyle name="ozzy 5 4 2" xfId="5848" xr:uid="{97229F0A-A735-4688-9B2A-9785FFF36F4A}"/>
    <cellStyle name="ozzy 5 4 3" xfId="3774" xr:uid="{DBC3E9D5-0880-43E3-87EA-24A4AE1D09F6}"/>
    <cellStyle name="ozzy 5 5" xfId="1656" xr:uid="{00000000-0005-0000-0000-000081060000}"/>
    <cellStyle name="ozzy 5 5 2" xfId="5849" xr:uid="{77E6D3A3-7944-450A-9326-4D27953E3D1C}"/>
    <cellStyle name="ozzy 5 5 3" xfId="3775" xr:uid="{06C509FB-44A5-4C80-B57E-36E961D8C4BC}"/>
    <cellStyle name="ozzy 5 6" xfId="1657" xr:uid="{00000000-0005-0000-0000-000082060000}"/>
    <cellStyle name="ozzy 5 6 2" xfId="5850" xr:uid="{4D142760-7589-4AE6-9E69-A81E3F788306}"/>
    <cellStyle name="ozzy 5 6 3" xfId="3776" xr:uid="{22FF5059-90EF-4BE8-9FEF-51D7C850C36A}"/>
    <cellStyle name="ozzy 5 7" xfId="1658" xr:uid="{00000000-0005-0000-0000-000083060000}"/>
    <cellStyle name="ozzy 5 7 2" xfId="5851" xr:uid="{1A35E24B-E89F-45B7-9BD2-CD4786CC4526}"/>
    <cellStyle name="ozzy 5 7 3" xfId="3777" xr:uid="{8A63B3FD-BED3-4A75-B8CC-270459373964}"/>
    <cellStyle name="ozzy 5 8" xfId="1659" xr:uid="{00000000-0005-0000-0000-000084060000}"/>
    <cellStyle name="ozzy 5 8 2" xfId="5852" xr:uid="{131B82E3-5C77-4BA6-A8C5-ACE992FCDB53}"/>
    <cellStyle name="ozzy 5 8 3" xfId="3778" xr:uid="{4DC14033-ABC0-485E-93D6-CFA91EC11697}"/>
    <cellStyle name="ozzy 5 9" xfId="1660" xr:uid="{00000000-0005-0000-0000-000085060000}"/>
    <cellStyle name="ozzy 5 9 2" xfId="5853" xr:uid="{AE852BD4-F3B5-4028-A120-3135F72558DD}"/>
    <cellStyle name="ozzy 5 9 3" xfId="3779" xr:uid="{C946776D-9EC0-4892-BEA1-931DA972F154}"/>
    <cellStyle name="ozzy 6" xfId="1661" xr:uid="{00000000-0005-0000-0000-000086060000}"/>
    <cellStyle name="ozzy 6 10" xfId="1662" xr:uid="{00000000-0005-0000-0000-000087060000}"/>
    <cellStyle name="ozzy 6 10 2" xfId="5855" xr:uid="{8F811105-DF12-40A9-9744-B9750F0735E9}"/>
    <cellStyle name="ozzy 6 10 3" xfId="3781" xr:uid="{A3A994CB-2634-4FDD-AB44-C7718ADBAFC6}"/>
    <cellStyle name="ozzy 6 11" xfId="1663" xr:uid="{00000000-0005-0000-0000-000088060000}"/>
    <cellStyle name="ozzy 6 11 2" xfId="5856" xr:uid="{BBEE06DD-9C76-42A2-8476-EA98EBA3321A}"/>
    <cellStyle name="ozzy 6 11 3" xfId="3782" xr:uid="{C0C287F1-18D3-481D-ADC4-5EFED4A82139}"/>
    <cellStyle name="ozzy 6 12" xfId="1664" xr:uid="{00000000-0005-0000-0000-000089060000}"/>
    <cellStyle name="ozzy 6 12 2" xfId="5857" xr:uid="{8F8BBEBD-3003-48B9-B922-0826CB1F7A11}"/>
    <cellStyle name="ozzy 6 12 3" xfId="3783" xr:uid="{23E1707D-FADD-4F67-B090-6ABC2444C7EE}"/>
    <cellStyle name="ozzy 6 13" xfId="1665" xr:uid="{00000000-0005-0000-0000-00008A060000}"/>
    <cellStyle name="ozzy 6 13 2" xfId="5858" xr:uid="{2A656C48-6064-4E3B-99E4-B08D4EA54148}"/>
    <cellStyle name="ozzy 6 13 3" xfId="3784" xr:uid="{F9687B20-5328-4F86-961D-3BCBDC9CA3A4}"/>
    <cellStyle name="ozzy 6 14" xfId="1666" xr:uid="{00000000-0005-0000-0000-00008B060000}"/>
    <cellStyle name="ozzy 6 14 2" xfId="5859" xr:uid="{469ABDF5-4208-4195-AC89-7ED9AC378BC5}"/>
    <cellStyle name="ozzy 6 14 3" xfId="3785" xr:uid="{8ABE5FBC-2786-4783-83A0-DACED9A4D890}"/>
    <cellStyle name="ozzy 6 15" xfId="1667" xr:uid="{00000000-0005-0000-0000-00008C060000}"/>
    <cellStyle name="ozzy 6 15 2" xfId="5860" xr:uid="{5B6203F2-5514-4F13-9EC2-F8494A78E467}"/>
    <cellStyle name="ozzy 6 15 3" xfId="3786" xr:uid="{BD1862DA-EBC1-49C2-A15F-6BB87B3F4020}"/>
    <cellStyle name="ozzy 6 16" xfId="1668" xr:uid="{00000000-0005-0000-0000-00008D060000}"/>
    <cellStyle name="ozzy 6 16 2" xfId="5861" xr:uid="{FB1C61DE-656F-4EDD-83B8-5A437B16B0C5}"/>
    <cellStyle name="ozzy 6 16 3" xfId="3787" xr:uid="{4B515D62-0AFB-45D5-9BEE-CC5C7B0E98F7}"/>
    <cellStyle name="ozzy 6 17" xfId="1669" xr:uid="{00000000-0005-0000-0000-00008E060000}"/>
    <cellStyle name="ozzy 6 17 2" xfId="5862" xr:uid="{0BA57FC2-190B-4B4F-885E-4703CD43AF45}"/>
    <cellStyle name="ozzy 6 17 3" xfId="3788" xr:uid="{91A544AB-2DE8-4939-9E74-56FFF44E4DF7}"/>
    <cellStyle name="ozzy 6 18" xfId="1670" xr:uid="{00000000-0005-0000-0000-00008F060000}"/>
    <cellStyle name="ozzy 6 18 2" xfId="5863" xr:uid="{C7107786-36F9-4E70-8FC7-9BBF4F363B6D}"/>
    <cellStyle name="ozzy 6 18 3" xfId="3789" xr:uid="{BC2A7233-872A-40B9-BD99-503821C39DD1}"/>
    <cellStyle name="ozzy 6 19" xfId="1671" xr:uid="{00000000-0005-0000-0000-000090060000}"/>
    <cellStyle name="ozzy 6 19 2" xfId="5864" xr:uid="{CF6D7873-818A-4CA5-85B8-A23367AA55B0}"/>
    <cellStyle name="ozzy 6 19 3" xfId="3790" xr:uid="{392378F9-0ADD-4307-86D1-D1546FF7B88D}"/>
    <cellStyle name="ozzy 6 2" xfId="1672" xr:uid="{00000000-0005-0000-0000-000091060000}"/>
    <cellStyle name="ozzy 6 2 2" xfId="5865" xr:uid="{0727AE92-BEAE-4B82-990C-AFE793F94493}"/>
    <cellStyle name="ozzy 6 2 3" xfId="3791" xr:uid="{66AD4880-D56C-4943-96F4-4B1A432596BB}"/>
    <cellStyle name="ozzy 6 20" xfId="1673" xr:uid="{00000000-0005-0000-0000-000092060000}"/>
    <cellStyle name="ozzy 6 20 2" xfId="5866" xr:uid="{44646110-B4A3-4C5D-8AD4-7DD11AF61C91}"/>
    <cellStyle name="ozzy 6 20 3" xfId="3792" xr:uid="{E056FBD1-8230-4154-B11C-FBA6CAF61880}"/>
    <cellStyle name="ozzy 6 21" xfId="1674" xr:uid="{00000000-0005-0000-0000-000093060000}"/>
    <cellStyle name="ozzy 6 21 2" xfId="5867" xr:uid="{E3D7EE44-5BC0-433E-AB67-F2FBC246EBF6}"/>
    <cellStyle name="ozzy 6 21 3" xfId="3793" xr:uid="{C9DBC5E7-A2D7-4FE7-8C6E-7DAE2A2798E8}"/>
    <cellStyle name="ozzy 6 22" xfId="1675" xr:uid="{00000000-0005-0000-0000-000094060000}"/>
    <cellStyle name="ozzy 6 22 2" xfId="5868" xr:uid="{6E890701-4FE5-4686-9633-3E9F089DE3CF}"/>
    <cellStyle name="ozzy 6 22 3" xfId="3794" xr:uid="{1B502A95-2FB0-4DD5-8308-347ACF5C8C0D}"/>
    <cellStyle name="ozzy 6 23" xfId="1676" xr:uid="{00000000-0005-0000-0000-000095060000}"/>
    <cellStyle name="ozzy 6 23 2" xfId="5869" xr:uid="{9198A07A-3E65-4968-8193-DF5A2C70F511}"/>
    <cellStyle name="ozzy 6 23 3" xfId="3795" xr:uid="{88CEB2A8-A3A6-4822-B25D-A94564DFF7C8}"/>
    <cellStyle name="ozzy 6 24" xfId="1677" xr:uid="{00000000-0005-0000-0000-000096060000}"/>
    <cellStyle name="ozzy 6 24 2" xfId="5870" xr:uid="{76F087A8-B994-4A9D-8737-7CA2C8F3200D}"/>
    <cellStyle name="ozzy 6 24 3" xfId="3796" xr:uid="{70AFEF20-04CB-47DF-B3D0-29FC8459889A}"/>
    <cellStyle name="ozzy 6 25" xfId="1678" xr:uid="{00000000-0005-0000-0000-000097060000}"/>
    <cellStyle name="ozzy 6 25 2" xfId="5871" xr:uid="{AE45A689-93B4-4695-8F98-23EAD21EE05E}"/>
    <cellStyle name="ozzy 6 25 3" xfId="3797" xr:uid="{9AF915A2-8562-4B95-8DB5-35574D148D83}"/>
    <cellStyle name="ozzy 6 26" xfId="1679" xr:uid="{00000000-0005-0000-0000-000098060000}"/>
    <cellStyle name="ozzy 6 26 2" xfId="5872" xr:uid="{EB6B08A3-3021-483B-8D34-8BDB46B4C7FF}"/>
    <cellStyle name="ozzy 6 26 3" xfId="3798" xr:uid="{B66B4279-C228-48D0-94B0-31CA23DD091D}"/>
    <cellStyle name="ozzy 6 27" xfId="1680" xr:uid="{00000000-0005-0000-0000-000099060000}"/>
    <cellStyle name="ozzy 6 27 2" xfId="5873" xr:uid="{206DCA56-C07B-4D28-9153-0948D79C58EB}"/>
    <cellStyle name="ozzy 6 27 3" xfId="3799" xr:uid="{3485E763-A4F2-47A8-B64E-F772834D9892}"/>
    <cellStyle name="ozzy 6 28" xfId="1681" xr:uid="{00000000-0005-0000-0000-00009A060000}"/>
    <cellStyle name="ozzy 6 28 2" xfId="5874" xr:uid="{B1F7ED61-79A9-4931-9BD1-161A98BC381D}"/>
    <cellStyle name="ozzy 6 28 3" xfId="3800" xr:uid="{9E7D4801-C1C7-4F3C-B5EE-3D27048F62CC}"/>
    <cellStyle name="ozzy 6 29" xfId="1682" xr:uid="{00000000-0005-0000-0000-00009B060000}"/>
    <cellStyle name="ozzy 6 29 2" xfId="5875" xr:uid="{8B7B22D1-8E47-4BD4-8873-25470A40A47E}"/>
    <cellStyle name="ozzy 6 29 3" xfId="3801" xr:uid="{000146C2-DD83-431E-BDA7-D84FA4D39BF8}"/>
    <cellStyle name="ozzy 6 3" xfId="1683" xr:uid="{00000000-0005-0000-0000-00009C060000}"/>
    <cellStyle name="ozzy 6 3 2" xfId="5876" xr:uid="{B0C953A6-FEFC-474C-B7A3-17CEB4EEA4DF}"/>
    <cellStyle name="ozzy 6 3 3" xfId="3802" xr:uid="{AD029F88-EBA3-45B4-BBEB-F2562068B3F8}"/>
    <cellStyle name="ozzy 6 30" xfId="5854" xr:uid="{DB6FC3F9-6D91-4868-9954-872A4A16B3BB}"/>
    <cellStyle name="ozzy 6 31" xfId="3780" xr:uid="{FEA96FB5-F8BC-4417-84A5-41F3A29BE968}"/>
    <cellStyle name="ozzy 6 4" xfId="1684" xr:uid="{00000000-0005-0000-0000-00009D060000}"/>
    <cellStyle name="ozzy 6 4 2" xfId="5877" xr:uid="{A74D6B56-0ADB-4071-8A12-9C5118C61D07}"/>
    <cellStyle name="ozzy 6 4 3" xfId="3803" xr:uid="{D51C10E1-F306-4824-8858-8D03C5F11452}"/>
    <cellStyle name="ozzy 6 5" xfId="1685" xr:uid="{00000000-0005-0000-0000-00009E060000}"/>
    <cellStyle name="ozzy 6 5 2" xfId="5878" xr:uid="{C30C501E-C3FA-496C-AD8E-ECDAD572C2BF}"/>
    <cellStyle name="ozzy 6 5 3" xfId="3804" xr:uid="{A1C4EBDC-3D1C-4B8D-A700-B8191F80205F}"/>
    <cellStyle name="ozzy 6 6" xfId="1686" xr:uid="{00000000-0005-0000-0000-00009F060000}"/>
    <cellStyle name="ozzy 6 6 2" xfId="5879" xr:uid="{C82EFA32-A504-46B4-9DBF-6116F78977FB}"/>
    <cellStyle name="ozzy 6 6 3" xfId="3805" xr:uid="{8774B39F-D3E3-413B-AB6A-74AF49FAA65D}"/>
    <cellStyle name="ozzy 6 7" xfId="1687" xr:uid="{00000000-0005-0000-0000-0000A0060000}"/>
    <cellStyle name="ozzy 6 7 2" xfId="5880" xr:uid="{66010F16-5B40-47BF-BAA2-EEBCCE8900A2}"/>
    <cellStyle name="ozzy 6 7 3" xfId="3806" xr:uid="{DBCB68F3-454B-412A-B0F4-6DE3C3CF58E1}"/>
    <cellStyle name="ozzy 6 8" xfId="1688" xr:uid="{00000000-0005-0000-0000-0000A1060000}"/>
    <cellStyle name="ozzy 6 8 2" xfId="5881" xr:uid="{AB4D930F-A689-4A52-AE68-6C1E48832218}"/>
    <cellStyle name="ozzy 6 8 3" xfId="3807" xr:uid="{1AFB5B07-6BB6-4053-AA43-B72242353D39}"/>
    <cellStyle name="ozzy 6 9" xfId="1689" xr:uid="{00000000-0005-0000-0000-0000A2060000}"/>
    <cellStyle name="ozzy 6 9 2" xfId="5882" xr:uid="{672CE03D-613E-430A-97CB-503CB42D64C7}"/>
    <cellStyle name="ozzy 6 9 3" xfId="3808" xr:uid="{7D6B4EC5-6B8D-4992-817C-D7A818667F58}"/>
    <cellStyle name="ozzy 7" xfId="5737" xr:uid="{2F2048B7-D21C-4C27-9569-2CEDAD054F90}"/>
    <cellStyle name="ozzy 8" xfId="3663" xr:uid="{F8256FEC-521C-4372-83EC-E7E7B4BFF75B}"/>
    <cellStyle name="per.style" xfId="1690" xr:uid="{00000000-0005-0000-0000-0000A3060000}"/>
    <cellStyle name="Percent (0)" xfId="1692" xr:uid="{00000000-0005-0000-0000-0000A4060000}"/>
    <cellStyle name="Percent (0) 2" xfId="1693" xr:uid="{00000000-0005-0000-0000-0000A5060000}"/>
    <cellStyle name="Percent (0) 2 10" xfId="1694" xr:uid="{00000000-0005-0000-0000-0000A6060000}"/>
    <cellStyle name="Percent (0) 2 10 2" xfId="5886" xr:uid="{29E3B443-380F-49AD-BFC4-4EC9136CE455}"/>
    <cellStyle name="Percent (0) 2 10 3" xfId="3812" xr:uid="{6729D1BB-C100-427E-9E49-BC131560138C}"/>
    <cellStyle name="Percent (0) 2 11" xfId="1695" xr:uid="{00000000-0005-0000-0000-0000A7060000}"/>
    <cellStyle name="Percent (0) 2 11 2" xfId="5887" xr:uid="{C2D4C48E-5EC5-4AC2-A437-159C6921E45A}"/>
    <cellStyle name="Percent (0) 2 11 3" xfId="3813" xr:uid="{EA6AAB5D-4EDB-4038-8580-75430714F076}"/>
    <cellStyle name="Percent (0) 2 12" xfId="1696" xr:uid="{00000000-0005-0000-0000-0000A8060000}"/>
    <cellStyle name="Percent (0) 2 12 2" xfId="5888" xr:uid="{BD75C800-08EA-43B5-9E8F-1E9FB72FAE3D}"/>
    <cellStyle name="Percent (0) 2 12 3" xfId="3814" xr:uid="{C940BE3C-6FAA-4144-AB1D-95534779171F}"/>
    <cellStyle name="Percent (0) 2 13" xfId="1697" xr:uid="{00000000-0005-0000-0000-0000A9060000}"/>
    <cellStyle name="Percent (0) 2 13 2" xfId="5889" xr:uid="{B53B0FC7-8EE2-4C51-8CB7-5EB8617C1BF4}"/>
    <cellStyle name="Percent (0) 2 13 3" xfId="3815" xr:uid="{CC6F4B93-57AF-426E-8DC6-D2796FBE3790}"/>
    <cellStyle name="Percent (0) 2 14" xfId="1698" xr:uid="{00000000-0005-0000-0000-0000AA060000}"/>
    <cellStyle name="Percent (0) 2 14 2" xfId="5890" xr:uid="{12B29BB3-B1D7-4238-83E7-29D9407A5438}"/>
    <cellStyle name="Percent (0) 2 14 3" xfId="3816" xr:uid="{75173D4F-2F91-4EA2-A157-3D0D5321D8CC}"/>
    <cellStyle name="Percent (0) 2 15" xfId="1699" xr:uid="{00000000-0005-0000-0000-0000AB060000}"/>
    <cellStyle name="Percent (0) 2 15 2" xfId="5891" xr:uid="{CA0B6605-6182-4DFE-85A9-09937714F92B}"/>
    <cellStyle name="Percent (0) 2 15 3" xfId="3817" xr:uid="{20AC6538-B3A2-4229-AAC4-976EF4182410}"/>
    <cellStyle name="Percent (0) 2 16" xfId="1700" xr:uid="{00000000-0005-0000-0000-0000AC060000}"/>
    <cellStyle name="Percent (0) 2 16 2" xfId="5892" xr:uid="{16A92A1E-5DBE-481A-BA1C-EC29A3451971}"/>
    <cellStyle name="Percent (0) 2 16 3" xfId="3818" xr:uid="{0C745F6F-6D57-4643-A482-F20E95B588D8}"/>
    <cellStyle name="Percent (0) 2 17" xfId="1701" xr:uid="{00000000-0005-0000-0000-0000AD060000}"/>
    <cellStyle name="Percent (0) 2 17 2" xfId="5893" xr:uid="{4958931D-374A-4AD4-BDA7-A5D9E061AA03}"/>
    <cellStyle name="Percent (0) 2 17 3" xfId="3819" xr:uid="{E32DBAB3-7C41-409E-AB25-BB2ECAF1DD73}"/>
    <cellStyle name="Percent (0) 2 18" xfId="1702" xr:uid="{00000000-0005-0000-0000-0000AE060000}"/>
    <cellStyle name="Percent (0) 2 18 2" xfId="5894" xr:uid="{71CB2E55-9A8B-4810-B21D-C8B06FA82E35}"/>
    <cellStyle name="Percent (0) 2 18 3" xfId="3820" xr:uid="{A90C74E1-90F6-44EA-B404-054504731D81}"/>
    <cellStyle name="Percent (0) 2 19" xfId="1703" xr:uid="{00000000-0005-0000-0000-0000AF060000}"/>
    <cellStyle name="Percent (0) 2 19 2" xfId="5895" xr:uid="{0B89497E-1562-4C1D-994F-F1D33A2EA608}"/>
    <cellStyle name="Percent (0) 2 19 3" xfId="3821" xr:uid="{5916DB7A-ED0E-41C9-A354-6D6FB174D08B}"/>
    <cellStyle name="Percent (0) 2 2" xfId="1704" xr:uid="{00000000-0005-0000-0000-0000B0060000}"/>
    <cellStyle name="Percent (0) 2 2 2" xfId="5896" xr:uid="{B34A988C-562B-4C60-A4FB-98F24450E59D}"/>
    <cellStyle name="Percent (0) 2 2 3" xfId="3822" xr:uid="{D2378999-C04E-4E15-9129-DF4F98B381D3}"/>
    <cellStyle name="Percent (0) 2 20" xfId="1705" xr:uid="{00000000-0005-0000-0000-0000B1060000}"/>
    <cellStyle name="Percent (0) 2 20 2" xfId="5897" xr:uid="{43B0D9A1-5566-42DF-809C-3EC3DA94A1C3}"/>
    <cellStyle name="Percent (0) 2 20 3" xfId="3823" xr:uid="{78A61D44-DCF3-4A4F-97F2-04516E85EF36}"/>
    <cellStyle name="Percent (0) 2 21" xfId="1706" xr:uid="{00000000-0005-0000-0000-0000B2060000}"/>
    <cellStyle name="Percent (0) 2 21 2" xfId="5898" xr:uid="{217E077F-C7C4-411E-9823-604490158A43}"/>
    <cellStyle name="Percent (0) 2 21 3" xfId="3824" xr:uid="{A9C02265-8DF3-485E-8048-C486A4AC582B}"/>
    <cellStyle name="Percent (0) 2 22" xfId="1707" xr:uid="{00000000-0005-0000-0000-0000B3060000}"/>
    <cellStyle name="Percent (0) 2 22 2" xfId="5899" xr:uid="{36898E60-C819-452B-9021-9265C42B6370}"/>
    <cellStyle name="Percent (0) 2 22 3" xfId="3825" xr:uid="{CFBCD8BA-1D8D-48B9-A067-164AFC0A261C}"/>
    <cellStyle name="Percent (0) 2 23" xfId="1708" xr:uid="{00000000-0005-0000-0000-0000B4060000}"/>
    <cellStyle name="Percent (0) 2 23 2" xfId="5900" xr:uid="{3D8010FA-F82F-4242-8763-BC90FB00B581}"/>
    <cellStyle name="Percent (0) 2 23 3" xfId="3826" xr:uid="{34AEF8A8-13E0-4B36-BE0B-1F85575EF4E3}"/>
    <cellStyle name="Percent (0) 2 24" xfId="1709" xr:uid="{00000000-0005-0000-0000-0000B5060000}"/>
    <cellStyle name="Percent (0) 2 24 2" xfId="5901" xr:uid="{38DF0161-50F6-42FB-83DA-CBC6D5F0F436}"/>
    <cellStyle name="Percent (0) 2 24 3" xfId="3827" xr:uid="{1F300161-CE72-4799-AEE1-86EA86CE3E86}"/>
    <cellStyle name="Percent (0) 2 25" xfId="1710" xr:uid="{00000000-0005-0000-0000-0000B6060000}"/>
    <cellStyle name="Percent (0) 2 25 2" xfId="5902" xr:uid="{FCA1A8D0-4C3B-4F7C-904B-DCB902BFE561}"/>
    <cellStyle name="Percent (0) 2 25 3" xfId="3828" xr:uid="{CE616852-4D0C-4335-BEA1-2D0021D2493C}"/>
    <cellStyle name="Percent (0) 2 26" xfId="1711" xr:uid="{00000000-0005-0000-0000-0000B7060000}"/>
    <cellStyle name="Percent (0) 2 26 2" xfId="5903" xr:uid="{0F5C76EB-4C5A-4F04-91D5-CCEFFA6C7DE5}"/>
    <cellStyle name="Percent (0) 2 26 3" xfId="3829" xr:uid="{823714EB-E55E-4EFF-A759-9E0F584045AC}"/>
    <cellStyle name="Percent (0) 2 27" xfId="1712" xr:uid="{00000000-0005-0000-0000-0000B8060000}"/>
    <cellStyle name="Percent (0) 2 27 2" xfId="5904" xr:uid="{D88A20C8-7784-4007-B296-F7725EB6E17F}"/>
    <cellStyle name="Percent (0) 2 27 3" xfId="3830" xr:uid="{D1EE1F10-E3DB-4516-9E85-BEF8BB9897C2}"/>
    <cellStyle name="Percent (0) 2 28" xfId="1713" xr:uid="{00000000-0005-0000-0000-0000B9060000}"/>
    <cellStyle name="Percent (0) 2 28 2" xfId="5905" xr:uid="{89494F71-EAAC-4A87-A0D0-205BFC479DBD}"/>
    <cellStyle name="Percent (0) 2 28 3" xfId="3831" xr:uid="{1BB6C9B4-F4EE-40A2-B1D7-0BA5159CCD1F}"/>
    <cellStyle name="Percent (0) 2 29" xfId="1714" xr:uid="{00000000-0005-0000-0000-0000BA060000}"/>
    <cellStyle name="Percent (0) 2 29 2" xfId="5906" xr:uid="{12EBBAC1-CEC1-4E50-B1D2-115BED4EC454}"/>
    <cellStyle name="Percent (0) 2 29 3" xfId="3832" xr:uid="{89C1657B-4BB9-4982-BB05-1900D6B95148}"/>
    <cellStyle name="Percent (0) 2 3" xfId="1715" xr:uid="{00000000-0005-0000-0000-0000BB060000}"/>
    <cellStyle name="Percent (0) 2 3 2" xfId="5907" xr:uid="{8A8AAC71-828C-4483-A6FB-FF7572F9695B}"/>
    <cellStyle name="Percent (0) 2 3 3" xfId="3833" xr:uid="{0414D9A7-0A01-435E-A385-7559036FD433}"/>
    <cellStyle name="Percent (0) 2 30" xfId="5885" xr:uid="{0E4057F6-CD48-4517-94AA-8459FA227B30}"/>
    <cellStyle name="Percent (0) 2 31" xfId="3811" xr:uid="{F4FD321A-F39D-419B-98E9-9F186C5300D6}"/>
    <cellStyle name="Percent (0) 2 4" xfId="1716" xr:uid="{00000000-0005-0000-0000-0000BC060000}"/>
    <cellStyle name="Percent (0) 2 4 2" xfId="5908" xr:uid="{45A8BCBE-5815-4741-BFFD-01298E595765}"/>
    <cellStyle name="Percent (0) 2 4 3" xfId="3834" xr:uid="{BF36407B-81AF-4BB2-BDB5-F3322AA8B4CA}"/>
    <cellStyle name="Percent (0) 2 5" xfId="1717" xr:uid="{00000000-0005-0000-0000-0000BD060000}"/>
    <cellStyle name="Percent (0) 2 5 2" xfId="5909" xr:uid="{70C95D89-2D22-4242-81EB-3BB865283269}"/>
    <cellStyle name="Percent (0) 2 5 3" xfId="3835" xr:uid="{B6B2EBB3-A35A-4A71-94B2-3DDCC5D6F749}"/>
    <cellStyle name="Percent (0) 2 6" xfId="1718" xr:uid="{00000000-0005-0000-0000-0000BE060000}"/>
    <cellStyle name="Percent (0) 2 6 2" xfId="5910" xr:uid="{AC76BEF7-51FD-4314-B9B2-88F17074DCC6}"/>
    <cellStyle name="Percent (0) 2 6 3" xfId="3836" xr:uid="{46D8806D-FE83-4CE8-BA11-AC272A4D98CE}"/>
    <cellStyle name="Percent (0) 2 7" xfId="1719" xr:uid="{00000000-0005-0000-0000-0000BF060000}"/>
    <cellStyle name="Percent (0) 2 7 2" xfId="5911" xr:uid="{CDD0907A-B38F-4AC7-B94C-82F357D24141}"/>
    <cellStyle name="Percent (0) 2 7 3" xfId="3837" xr:uid="{AFA20E53-E31A-4437-B60F-0F951E98129D}"/>
    <cellStyle name="Percent (0) 2 8" xfId="1720" xr:uid="{00000000-0005-0000-0000-0000C0060000}"/>
    <cellStyle name="Percent (0) 2 8 2" xfId="5912" xr:uid="{3959DDF3-1F81-4E3D-B39B-28264F5871DE}"/>
    <cellStyle name="Percent (0) 2 8 3" xfId="3838" xr:uid="{1E6AD59B-9654-4D53-9B27-6C92880E5CAA}"/>
    <cellStyle name="Percent (0) 2 9" xfId="1721" xr:uid="{00000000-0005-0000-0000-0000C1060000}"/>
    <cellStyle name="Percent (0) 2 9 2" xfId="5913" xr:uid="{17899D52-CF8E-4880-ACF8-07E813D5B36E}"/>
    <cellStyle name="Percent (0) 2 9 3" xfId="3839" xr:uid="{E0FDBEAC-B3A5-409D-9EA5-4AEB09D64F2C}"/>
    <cellStyle name="Percent (0) 3" xfId="1722" xr:uid="{00000000-0005-0000-0000-0000C2060000}"/>
    <cellStyle name="Percent (0) 3 10" xfId="1723" xr:uid="{00000000-0005-0000-0000-0000C3060000}"/>
    <cellStyle name="Percent (0) 3 10 2" xfId="5915" xr:uid="{FE42C1A8-AD05-4A39-B8EC-80DB2176845C}"/>
    <cellStyle name="Percent (0) 3 10 3" xfId="3841" xr:uid="{9AAE3E01-9CFC-4C58-A0F2-846811C4220A}"/>
    <cellStyle name="Percent (0) 3 11" xfId="1724" xr:uid="{00000000-0005-0000-0000-0000C4060000}"/>
    <cellStyle name="Percent (0) 3 11 2" xfId="5916" xr:uid="{A82D543A-93E3-4753-9ADB-4AFFCD047D6F}"/>
    <cellStyle name="Percent (0) 3 11 3" xfId="3842" xr:uid="{811E3E36-330E-4C2C-B4A1-0B8F3C62C21A}"/>
    <cellStyle name="Percent (0) 3 12" xfId="1725" xr:uid="{00000000-0005-0000-0000-0000C5060000}"/>
    <cellStyle name="Percent (0) 3 12 2" xfId="5917" xr:uid="{C40ADA14-3B62-4224-9946-9787D0B9A612}"/>
    <cellStyle name="Percent (0) 3 12 3" xfId="3843" xr:uid="{BAF0ABB7-9C3D-4855-BDD5-906451716BA6}"/>
    <cellStyle name="Percent (0) 3 13" xfId="1726" xr:uid="{00000000-0005-0000-0000-0000C6060000}"/>
    <cellStyle name="Percent (0) 3 13 2" xfId="5918" xr:uid="{67FEA367-5A72-46C1-B598-49791C6492F8}"/>
    <cellStyle name="Percent (0) 3 13 3" xfId="3844" xr:uid="{E44176CF-1CB9-4CC6-862C-8CCAA013497B}"/>
    <cellStyle name="Percent (0) 3 14" xfId="1727" xr:uid="{00000000-0005-0000-0000-0000C7060000}"/>
    <cellStyle name="Percent (0) 3 14 2" xfId="5919" xr:uid="{2D89BB14-D472-4A30-BEE3-EDAF0F6A4801}"/>
    <cellStyle name="Percent (0) 3 14 3" xfId="3845" xr:uid="{E3F520AE-E327-480E-9C33-269EE6495DFF}"/>
    <cellStyle name="Percent (0) 3 15" xfId="1728" xr:uid="{00000000-0005-0000-0000-0000C8060000}"/>
    <cellStyle name="Percent (0) 3 15 2" xfId="5920" xr:uid="{40BF8535-FECF-4734-A3D1-CC9CAAE10918}"/>
    <cellStyle name="Percent (0) 3 15 3" xfId="3846" xr:uid="{0D03E778-10BD-4C49-A33E-9432A32CAB96}"/>
    <cellStyle name="Percent (0) 3 16" xfId="1729" xr:uid="{00000000-0005-0000-0000-0000C9060000}"/>
    <cellStyle name="Percent (0) 3 16 2" xfId="5921" xr:uid="{5EB14DB9-7304-4F56-889E-BF21C1EDC9C4}"/>
    <cellStyle name="Percent (0) 3 16 3" xfId="3847" xr:uid="{AF156D35-A8EF-4119-8189-8CE8FD0AA168}"/>
    <cellStyle name="Percent (0) 3 17" xfId="1730" xr:uid="{00000000-0005-0000-0000-0000CA060000}"/>
    <cellStyle name="Percent (0) 3 17 2" xfId="5922" xr:uid="{A91AB292-4C74-45F0-B199-6E1AF3C2A7D5}"/>
    <cellStyle name="Percent (0) 3 17 3" xfId="3848" xr:uid="{ABF99343-6538-4CA2-AE2E-CCEAE1100BAA}"/>
    <cellStyle name="Percent (0) 3 18" xfId="1731" xr:uid="{00000000-0005-0000-0000-0000CB060000}"/>
    <cellStyle name="Percent (0) 3 18 2" xfId="5923" xr:uid="{6AD6FD57-3D58-45E4-B364-8DF51E5F79EB}"/>
    <cellStyle name="Percent (0) 3 18 3" xfId="3849" xr:uid="{E71D4A95-2FE7-4A9C-A0E4-AB44B7D6CB71}"/>
    <cellStyle name="Percent (0) 3 19" xfId="1732" xr:uid="{00000000-0005-0000-0000-0000CC060000}"/>
    <cellStyle name="Percent (0) 3 19 2" xfId="5924" xr:uid="{D4FD809A-B740-4779-B651-EF8290559942}"/>
    <cellStyle name="Percent (0) 3 19 3" xfId="3850" xr:uid="{E550A50C-808B-4D70-AC84-55A61FCB64CA}"/>
    <cellStyle name="Percent (0) 3 2" xfId="1733" xr:uid="{00000000-0005-0000-0000-0000CD060000}"/>
    <cellStyle name="Percent (0) 3 2 2" xfId="5925" xr:uid="{0660BD5D-9690-43C4-ADF6-AF17ED46F926}"/>
    <cellStyle name="Percent (0) 3 2 3" xfId="3851" xr:uid="{B64C66A8-9A35-406D-807D-062A31A1E643}"/>
    <cellStyle name="Percent (0) 3 20" xfId="1734" xr:uid="{00000000-0005-0000-0000-0000CE060000}"/>
    <cellStyle name="Percent (0) 3 20 2" xfId="5926" xr:uid="{AB452327-AC01-479A-8CC5-C2983E301880}"/>
    <cellStyle name="Percent (0) 3 20 3" xfId="3852" xr:uid="{CAE2998C-B119-43A7-A480-0529A124F074}"/>
    <cellStyle name="Percent (0) 3 21" xfId="1735" xr:uid="{00000000-0005-0000-0000-0000CF060000}"/>
    <cellStyle name="Percent (0) 3 21 2" xfId="5927" xr:uid="{DEB08783-869E-4B2A-AC3D-8CB57CA5C7E3}"/>
    <cellStyle name="Percent (0) 3 21 3" xfId="3853" xr:uid="{AAA63CE5-7C06-4F6E-ADC9-42B8D891B0C2}"/>
    <cellStyle name="Percent (0) 3 22" xfId="1736" xr:uid="{00000000-0005-0000-0000-0000D0060000}"/>
    <cellStyle name="Percent (0) 3 22 2" xfId="5928" xr:uid="{D1C2D458-3BB5-4050-ADA7-AF188ACF8FF0}"/>
    <cellStyle name="Percent (0) 3 22 3" xfId="3854" xr:uid="{30E5AF22-BF5B-4123-A5E7-0A2B48045856}"/>
    <cellStyle name="Percent (0) 3 23" xfId="1737" xr:uid="{00000000-0005-0000-0000-0000D1060000}"/>
    <cellStyle name="Percent (0) 3 23 2" xfId="5929" xr:uid="{DD88884C-1C20-4713-9465-538FC40311E9}"/>
    <cellStyle name="Percent (0) 3 23 3" xfId="3855" xr:uid="{C279DEF8-DC41-48F0-9B6B-DAE7E1D0AE47}"/>
    <cellStyle name="Percent (0) 3 24" xfId="1738" xr:uid="{00000000-0005-0000-0000-0000D2060000}"/>
    <cellStyle name="Percent (0) 3 24 2" xfId="5930" xr:uid="{F875174C-B1DC-4B15-83EF-2B17A72CDB4A}"/>
    <cellStyle name="Percent (0) 3 24 3" xfId="3856" xr:uid="{0F60EA60-0822-4BF8-81B5-804856C03AEF}"/>
    <cellStyle name="Percent (0) 3 25" xfId="1739" xr:uid="{00000000-0005-0000-0000-0000D3060000}"/>
    <cellStyle name="Percent (0) 3 25 2" xfId="5931" xr:uid="{B5FEE16F-5B41-438B-BB64-7744B9A8FD11}"/>
    <cellStyle name="Percent (0) 3 25 3" xfId="3857" xr:uid="{38E7920F-A332-4DFF-A3D8-EA2D06AC7E7A}"/>
    <cellStyle name="Percent (0) 3 26" xfId="1740" xr:uid="{00000000-0005-0000-0000-0000D4060000}"/>
    <cellStyle name="Percent (0) 3 26 2" xfId="5932" xr:uid="{3CB4A28A-445C-4A2F-91F6-5D1032ADFF3C}"/>
    <cellStyle name="Percent (0) 3 26 3" xfId="3858" xr:uid="{4DE1FEFB-7F23-4C58-8E48-43D02D50560C}"/>
    <cellStyle name="Percent (0) 3 27" xfId="1741" xr:uid="{00000000-0005-0000-0000-0000D5060000}"/>
    <cellStyle name="Percent (0) 3 27 2" xfId="5933" xr:uid="{9F9F6B54-7A2E-4308-8084-0C860AB89EB4}"/>
    <cellStyle name="Percent (0) 3 27 3" xfId="3859" xr:uid="{D09CE9EA-AFD0-4224-AA44-4A1D090D5B92}"/>
    <cellStyle name="Percent (0) 3 28" xfId="1742" xr:uid="{00000000-0005-0000-0000-0000D6060000}"/>
    <cellStyle name="Percent (0) 3 28 2" xfId="5934" xr:uid="{50706B03-9E18-4E50-954D-25B4F61E05F3}"/>
    <cellStyle name="Percent (0) 3 28 3" xfId="3860" xr:uid="{AD7C968F-16AD-4A34-BD6F-52722E24AFD5}"/>
    <cellStyle name="Percent (0) 3 29" xfId="1743" xr:uid="{00000000-0005-0000-0000-0000D7060000}"/>
    <cellStyle name="Percent (0) 3 29 2" xfId="5935" xr:uid="{169590F6-6BD4-45D7-BBD1-BB79E26A1ACE}"/>
    <cellStyle name="Percent (0) 3 29 3" xfId="3861" xr:uid="{FDCD309E-81E4-4F7B-9764-484F7324260D}"/>
    <cellStyle name="Percent (0) 3 3" xfId="1744" xr:uid="{00000000-0005-0000-0000-0000D8060000}"/>
    <cellStyle name="Percent (0) 3 3 2" xfId="5936" xr:uid="{BFADEB12-9D9A-4603-ABAF-71FC97224235}"/>
    <cellStyle name="Percent (0) 3 3 3" xfId="3862" xr:uid="{BFD53B2D-1818-4FE2-A110-9B0C7389E145}"/>
    <cellStyle name="Percent (0) 3 30" xfId="5914" xr:uid="{9478A861-46CA-492B-8612-2D6C4D155345}"/>
    <cellStyle name="Percent (0) 3 31" xfId="3840" xr:uid="{3E9596C4-39F2-40F3-B8E1-022AFE35C2A1}"/>
    <cellStyle name="Percent (0) 3 4" xfId="1745" xr:uid="{00000000-0005-0000-0000-0000D9060000}"/>
    <cellStyle name="Percent (0) 3 4 2" xfId="5937" xr:uid="{DE49DC0A-BBC3-4AF8-BBCC-8862F6FB9F0B}"/>
    <cellStyle name="Percent (0) 3 4 3" xfId="3863" xr:uid="{FE48BABF-4C84-4D39-BD26-6F631F2893D8}"/>
    <cellStyle name="Percent (0) 3 5" xfId="1746" xr:uid="{00000000-0005-0000-0000-0000DA060000}"/>
    <cellStyle name="Percent (0) 3 5 2" xfId="5938" xr:uid="{6F004A0C-209C-4C5C-A5AD-5B218129EDE2}"/>
    <cellStyle name="Percent (0) 3 5 3" xfId="3864" xr:uid="{7B9E8D63-38C9-4A21-B73D-70034C4DBE51}"/>
    <cellStyle name="Percent (0) 3 6" xfId="1747" xr:uid="{00000000-0005-0000-0000-0000DB060000}"/>
    <cellStyle name="Percent (0) 3 6 2" xfId="5939" xr:uid="{9D8C7431-3729-4E72-8CC7-AC9FBFFEB876}"/>
    <cellStyle name="Percent (0) 3 6 3" xfId="3865" xr:uid="{37CDAC8D-8F68-4198-A4A5-8DA889E3B638}"/>
    <cellStyle name="Percent (0) 3 7" xfId="1748" xr:uid="{00000000-0005-0000-0000-0000DC060000}"/>
    <cellStyle name="Percent (0) 3 7 2" xfId="5940" xr:uid="{2A742928-2B79-4A27-B814-D25E4092660D}"/>
    <cellStyle name="Percent (0) 3 7 3" xfId="3866" xr:uid="{4E084518-9FC0-4E4E-9AE7-245DDD5662F1}"/>
    <cellStyle name="Percent (0) 3 8" xfId="1749" xr:uid="{00000000-0005-0000-0000-0000DD060000}"/>
    <cellStyle name="Percent (0) 3 8 2" xfId="5941" xr:uid="{E247BC3D-038E-4435-927F-2ECDD36EF63D}"/>
    <cellStyle name="Percent (0) 3 8 3" xfId="3867" xr:uid="{29504F41-652C-4900-8FDF-0B272AE90678}"/>
    <cellStyle name="Percent (0) 3 9" xfId="1750" xr:uid="{00000000-0005-0000-0000-0000DE060000}"/>
    <cellStyle name="Percent (0) 3 9 2" xfId="5942" xr:uid="{0B1DC59F-3B37-4E44-A92D-4FBC43B3D47B}"/>
    <cellStyle name="Percent (0) 3 9 3" xfId="3868" xr:uid="{5893EA30-2AB1-4E9D-9255-8CA6F27987B9}"/>
    <cellStyle name="Percent (0) 4" xfId="1751" xr:uid="{00000000-0005-0000-0000-0000DF060000}"/>
    <cellStyle name="Percent (0) 4 10" xfId="1752" xr:uid="{00000000-0005-0000-0000-0000E0060000}"/>
    <cellStyle name="Percent (0) 4 10 2" xfId="5944" xr:uid="{881C2BC8-7E2F-476F-9D11-6EC8BCDDACCD}"/>
    <cellStyle name="Percent (0) 4 10 3" xfId="3870" xr:uid="{422CAD60-806D-405B-BBC9-923AE89E6651}"/>
    <cellStyle name="Percent (0) 4 11" xfId="1753" xr:uid="{00000000-0005-0000-0000-0000E1060000}"/>
    <cellStyle name="Percent (0) 4 11 2" xfId="5945" xr:uid="{2D0D6869-2ECF-4EF0-B5D5-9B336B8A5F91}"/>
    <cellStyle name="Percent (0) 4 11 3" xfId="3871" xr:uid="{B3D2C5EB-D03C-4DEC-982C-CFE39E8C0E90}"/>
    <cellStyle name="Percent (0) 4 12" xfId="1754" xr:uid="{00000000-0005-0000-0000-0000E2060000}"/>
    <cellStyle name="Percent (0) 4 12 2" xfId="5946" xr:uid="{05C59CAB-C1D7-4644-BD70-9BDD4A1BCA5D}"/>
    <cellStyle name="Percent (0) 4 12 3" xfId="3872" xr:uid="{B10B4551-D81D-4ACF-98DB-F7582F013811}"/>
    <cellStyle name="Percent (0) 4 13" xfId="1755" xr:uid="{00000000-0005-0000-0000-0000E3060000}"/>
    <cellStyle name="Percent (0) 4 13 2" xfId="5947" xr:uid="{0D4CFDE0-FE6B-4C77-ACB1-EE028572AC73}"/>
    <cellStyle name="Percent (0) 4 13 3" xfId="3873" xr:uid="{30C3279B-D912-462D-8846-8439B3D6B22A}"/>
    <cellStyle name="Percent (0) 4 14" xfId="1756" xr:uid="{00000000-0005-0000-0000-0000E4060000}"/>
    <cellStyle name="Percent (0) 4 14 2" xfId="5948" xr:uid="{045C02F7-EF22-4255-A81E-13D2524DB031}"/>
    <cellStyle name="Percent (0) 4 14 3" xfId="3874" xr:uid="{D2981E3F-E6CD-4BA4-8D16-78B7ACD07623}"/>
    <cellStyle name="Percent (0) 4 15" xfId="1757" xr:uid="{00000000-0005-0000-0000-0000E5060000}"/>
    <cellStyle name="Percent (0) 4 15 2" xfId="5949" xr:uid="{3198C55F-53A1-4C51-BC47-97AD1561B8A8}"/>
    <cellStyle name="Percent (0) 4 15 3" xfId="3875" xr:uid="{68D8E040-1041-4B4F-8BAA-CF808A2C1976}"/>
    <cellStyle name="Percent (0) 4 16" xfId="1758" xr:uid="{00000000-0005-0000-0000-0000E6060000}"/>
    <cellStyle name="Percent (0) 4 16 2" xfId="5950" xr:uid="{3953C7C6-C033-407E-85EE-6819AE6A61CA}"/>
    <cellStyle name="Percent (0) 4 16 3" xfId="3876" xr:uid="{C478597F-831D-45D0-9B84-1056ADF3474C}"/>
    <cellStyle name="Percent (0) 4 17" xfId="1759" xr:uid="{00000000-0005-0000-0000-0000E7060000}"/>
    <cellStyle name="Percent (0) 4 17 2" xfId="5951" xr:uid="{A5E74737-480C-4D4F-89C2-C6042428EE7C}"/>
    <cellStyle name="Percent (0) 4 17 3" xfId="3877" xr:uid="{7D4FA482-E0F1-4331-A4EB-BCCDB93B888A}"/>
    <cellStyle name="Percent (0) 4 18" xfId="1760" xr:uid="{00000000-0005-0000-0000-0000E8060000}"/>
    <cellStyle name="Percent (0) 4 18 2" xfId="5952" xr:uid="{58364B26-D6CB-4D09-ADBD-FDA6F548D2ED}"/>
    <cellStyle name="Percent (0) 4 18 3" xfId="3878" xr:uid="{E07510C1-CCE8-40A4-8452-8EBFC6918941}"/>
    <cellStyle name="Percent (0) 4 19" xfId="1761" xr:uid="{00000000-0005-0000-0000-0000E9060000}"/>
    <cellStyle name="Percent (0) 4 19 2" xfId="5953" xr:uid="{000C687D-A249-482E-97D2-9581F40190A9}"/>
    <cellStyle name="Percent (0) 4 19 3" xfId="3879" xr:uid="{70F0D7E2-AB1E-45FB-8992-7BC99F04DEDB}"/>
    <cellStyle name="Percent (0) 4 2" xfId="1762" xr:uid="{00000000-0005-0000-0000-0000EA060000}"/>
    <cellStyle name="Percent (0) 4 2 2" xfId="5954" xr:uid="{64C46696-B0CD-4148-BF9B-B9FB4C0815D6}"/>
    <cellStyle name="Percent (0) 4 2 3" xfId="3880" xr:uid="{81C4A6C8-B99B-464C-B38B-E25BB166501E}"/>
    <cellStyle name="Percent (0) 4 20" xfId="1763" xr:uid="{00000000-0005-0000-0000-0000EB060000}"/>
    <cellStyle name="Percent (0) 4 20 2" xfId="5955" xr:uid="{353D71A4-27AC-4319-9B02-F686B6BCDED1}"/>
    <cellStyle name="Percent (0) 4 20 3" xfId="3881" xr:uid="{5B9A9FCA-1315-4F1F-B372-F4F6E624DA7F}"/>
    <cellStyle name="Percent (0) 4 21" xfId="1764" xr:uid="{00000000-0005-0000-0000-0000EC060000}"/>
    <cellStyle name="Percent (0) 4 21 2" xfId="5956" xr:uid="{CE436964-2C54-4706-A3F9-874196968E28}"/>
    <cellStyle name="Percent (0) 4 21 3" xfId="3882" xr:uid="{BAD88F9E-E393-4F7F-9AB8-B1F7992C216F}"/>
    <cellStyle name="Percent (0) 4 22" xfId="1765" xr:uid="{00000000-0005-0000-0000-0000ED060000}"/>
    <cellStyle name="Percent (0) 4 22 2" xfId="5957" xr:uid="{484D0B66-2146-4219-8122-05D3249830B3}"/>
    <cellStyle name="Percent (0) 4 22 3" xfId="3883" xr:uid="{6526ED79-CF45-48F1-A2B4-6BC4697EA9D6}"/>
    <cellStyle name="Percent (0) 4 23" xfId="1766" xr:uid="{00000000-0005-0000-0000-0000EE060000}"/>
    <cellStyle name="Percent (0) 4 23 2" xfId="5958" xr:uid="{32781AF7-C72A-4C3A-89B3-3DB9CDF7FFB0}"/>
    <cellStyle name="Percent (0) 4 23 3" xfId="3884" xr:uid="{9A9901B4-EACF-48BE-A840-6698508DF335}"/>
    <cellStyle name="Percent (0) 4 24" xfId="1767" xr:uid="{00000000-0005-0000-0000-0000EF060000}"/>
    <cellStyle name="Percent (0) 4 24 2" xfId="5959" xr:uid="{0ECFA41E-69B4-4CAC-A1BD-11E81A89C78C}"/>
    <cellStyle name="Percent (0) 4 24 3" xfId="3885" xr:uid="{CBFE818E-D52C-480D-8079-9C6E0C6685E2}"/>
    <cellStyle name="Percent (0) 4 25" xfId="1768" xr:uid="{00000000-0005-0000-0000-0000F0060000}"/>
    <cellStyle name="Percent (0) 4 25 2" xfId="5960" xr:uid="{55015D2E-56AC-4546-A1AD-3500989BE09C}"/>
    <cellStyle name="Percent (0) 4 25 3" xfId="3886" xr:uid="{3C06D3A4-0D2C-4325-A090-A4254C685646}"/>
    <cellStyle name="Percent (0) 4 26" xfId="1769" xr:uid="{00000000-0005-0000-0000-0000F1060000}"/>
    <cellStyle name="Percent (0) 4 26 2" xfId="5961" xr:uid="{D5DDBE0E-22F2-409D-BBD4-4A74212459F7}"/>
    <cellStyle name="Percent (0) 4 26 3" xfId="3887" xr:uid="{BE37932F-7515-4A4A-86B6-9354ABC370A3}"/>
    <cellStyle name="Percent (0) 4 27" xfId="1770" xr:uid="{00000000-0005-0000-0000-0000F2060000}"/>
    <cellStyle name="Percent (0) 4 27 2" xfId="5962" xr:uid="{288D95AB-F018-42A8-B7C1-956444028A9B}"/>
    <cellStyle name="Percent (0) 4 27 3" xfId="3888" xr:uid="{3EE92141-A7AB-4CA6-9FF5-56C791F430DF}"/>
    <cellStyle name="Percent (0) 4 28" xfId="1771" xr:uid="{00000000-0005-0000-0000-0000F3060000}"/>
    <cellStyle name="Percent (0) 4 28 2" xfId="5963" xr:uid="{AAADB655-0F0A-4524-8215-BE148C9947D2}"/>
    <cellStyle name="Percent (0) 4 28 3" xfId="3889" xr:uid="{6480368F-7A53-4DD9-A7C7-3EE7A53F7E07}"/>
    <cellStyle name="Percent (0) 4 29" xfId="1772" xr:uid="{00000000-0005-0000-0000-0000F4060000}"/>
    <cellStyle name="Percent (0) 4 29 2" xfId="5964" xr:uid="{C6A96A3F-504B-49A4-B494-EA952921DABC}"/>
    <cellStyle name="Percent (0) 4 29 3" xfId="3890" xr:uid="{69237ECE-D5AE-4A67-AD5D-332CFE0B0FC1}"/>
    <cellStyle name="Percent (0) 4 3" xfId="1773" xr:uid="{00000000-0005-0000-0000-0000F5060000}"/>
    <cellStyle name="Percent (0) 4 3 2" xfId="5965" xr:uid="{0F1404CA-A46E-41A1-9DCA-E6F95C7D0DC8}"/>
    <cellStyle name="Percent (0) 4 3 3" xfId="3891" xr:uid="{BAAB1717-C37B-4F42-8649-5C537D4661C3}"/>
    <cellStyle name="Percent (0) 4 30" xfId="5943" xr:uid="{707AB1EC-F0B3-4F98-B88F-2B66DB63B030}"/>
    <cellStyle name="Percent (0) 4 31" xfId="3869" xr:uid="{A607D506-72D5-4C28-95F8-4CE39F8A730D}"/>
    <cellStyle name="Percent (0) 4 4" xfId="1774" xr:uid="{00000000-0005-0000-0000-0000F6060000}"/>
    <cellStyle name="Percent (0) 4 4 2" xfId="5966" xr:uid="{FF6AD2BF-113E-4A6A-9D11-C5C30E600559}"/>
    <cellStyle name="Percent (0) 4 4 3" xfId="3892" xr:uid="{8F562925-7183-4ECC-9E90-742AA40D5DA5}"/>
    <cellStyle name="Percent (0) 4 5" xfId="1775" xr:uid="{00000000-0005-0000-0000-0000F7060000}"/>
    <cellStyle name="Percent (0) 4 5 2" xfId="5967" xr:uid="{99212062-72B1-4456-9AA7-3E368FDD50A2}"/>
    <cellStyle name="Percent (0) 4 5 3" xfId="3893" xr:uid="{9D35CEF7-E952-4CDA-A4A7-F1ABA850EDDD}"/>
    <cellStyle name="Percent (0) 4 6" xfId="1776" xr:uid="{00000000-0005-0000-0000-0000F8060000}"/>
    <cellStyle name="Percent (0) 4 6 2" xfId="5968" xr:uid="{BBF7FEA3-807C-4378-98A6-92CC0B099B44}"/>
    <cellStyle name="Percent (0) 4 6 3" xfId="3894" xr:uid="{C93738A4-B375-4228-9383-566770D6CEA5}"/>
    <cellStyle name="Percent (0) 4 7" xfId="1777" xr:uid="{00000000-0005-0000-0000-0000F9060000}"/>
    <cellStyle name="Percent (0) 4 7 2" xfId="5969" xr:uid="{8BAECB54-38FE-47F3-9953-80ECE4A186F7}"/>
    <cellStyle name="Percent (0) 4 7 3" xfId="3895" xr:uid="{25B9DD67-6C33-46D4-A994-96CAAA147BCC}"/>
    <cellStyle name="Percent (0) 4 8" xfId="1778" xr:uid="{00000000-0005-0000-0000-0000FA060000}"/>
    <cellStyle name="Percent (0) 4 8 2" xfId="5970" xr:uid="{1D388CA6-C0F6-4685-8F76-FD99A2634824}"/>
    <cellStyle name="Percent (0) 4 8 3" xfId="3896" xr:uid="{8D55B9DC-E08D-4C4D-8EB6-B940EC9B96FF}"/>
    <cellStyle name="Percent (0) 4 9" xfId="1779" xr:uid="{00000000-0005-0000-0000-0000FB060000}"/>
    <cellStyle name="Percent (0) 4 9 2" xfId="5971" xr:uid="{CFE241C1-44E1-4D2E-9424-F4EFBA01322C}"/>
    <cellStyle name="Percent (0) 4 9 3" xfId="3897" xr:uid="{6CD2D415-17C0-43D1-8735-2FEE2C69BCC1}"/>
    <cellStyle name="Percent (0) 5" xfId="1780" xr:uid="{00000000-0005-0000-0000-0000FC060000}"/>
    <cellStyle name="Percent (0) 5 10" xfId="1781" xr:uid="{00000000-0005-0000-0000-0000FD060000}"/>
    <cellStyle name="Percent (0) 5 10 2" xfId="5973" xr:uid="{EBC5B9DB-79BE-4649-B1A5-ABC2D2A8EDEC}"/>
    <cellStyle name="Percent (0) 5 10 3" xfId="3899" xr:uid="{49A4048D-6232-420A-BA40-E699A300C5B5}"/>
    <cellStyle name="Percent (0) 5 11" xfId="1782" xr:uid="{00000000-0005-0000-0000-0000FE060000}"/>
    <cellStyle name="Percent (0) 5 11 2" xfId="5974" xr:uid="{0D38859D-444E-4AF3-89CE-52567B8D0DA9}"/>
    <cellStyle name="Percent (0) 5 11 3" xfId="3900" xr:uid="{F83A334B-6C6A-4DF0-A407-BF01FAA49E87}"/>
    <cellStyle name="Percent (0) 5 12" xfId="1783" xr:uid="{00000000-0005-0000-0000-0000FF060000}"/>
    <cellStyle name="Percent (0) 5 12 2" xfId="5975" xr:uid="{33EA454F-671D-4594-B99B-73DAEDCCF199}"/>
    <cellStyle name="Percent (0) 5 12 3" xfId="3901" xr:uid="{D6BF9AFA-6950-42B1-BE07-8B71F671E31D}"/>
    <cellStyle name="Percent (0) 5 13" xfId="1784" xr:uid="{00000000-0005-0000-0000-000000070000}"/>
    <cellStyle name="Percent (0) 5 13 2" xfId="5976" xr:uid="{97AACE8B-7DDA-418C-9538-24999E092A4B}"/>
    <cellStyle name="Percent (0) 5 13 3" xfId="3902" xr:uid="{36571859-C9EE-4583-BA56-9F147AA12D6D}"/>
    <cellStyle name="Percent (0) 5 14" xfId="1785" xr:uid="{00000000-0005-0000-0000-000001070000}"/>
    <cellStyle name="Percent (0) 5 14 2" xfId="5977" xr:uid="{C4CB430D-44C1-49A5-A0BF-598A7E42D201}"/>
    <cellStyle name="Percent (0) 5 14 3" xfId="3903" xr:uid="{3D081448-AF28-4E35-899B-C94FA3F98332}"/>
    <cellStyle name="Percent (0) 5 15" xfId="1786" xr:uid="{00000000-0005-0000-0000-000002070000}"/>
    <cellStyle name="Percent (0) 5 15 2" xfId="5978" xr:uid="{5B5A007A-49D7-4FC1-BE96-E14CEC49B59F}"/>
    <cellStyle name="Percent (0) 5 15 3" xfId="3904" xr:uid="{90964DF1-8949-44EB-B29E-16A6886E1D2F}"/>
    <cellStyle name="Percent (0) 5 16" xfId="1787" xr:uid="{00000000-0005-0000-0000-000003070000}"/>
    <cellStyle name="Percent (0) 5 16 2" xfId="5979" xr:uid="{1CF09497-F8CA-4392-8802-E649972F1D91}"/>
    <cellStyle name="Percent (0) 5 16 3" xfId="3905" xr:uid="{3C4167C3-82FB-451B-94DA-12BF3671E969}"/>
    <cellStyle name="Percent (0) 5 17" xfId="1788" xr:uid="{00000000-0005-0000-0000-000004070000}"/>
    <cellStyle name="Percent (0) 5 17 2" xfId="5980" xr:uid="{D2A16D61-2376-4824-B7BB-23A51EB81205}"/>
    <cellStyle name="Percent (0) 5 17 3" xfId="3906" xr:uid="{68E7BBB4-28D7-48E1-A99F-90488E1593C8}"/>
    <cellStyle name="Percent (0) 5 18" xfId="1789" xr:uid="{00000000-0005-0000-0000-000005070000}"/>
    <cellStyle name="Percent (0) 5 18 2" xfId="5981" xr:uid="{F851C710-AE4F-477B-A899-D1CA72B9CC24}"/>
    <cellStyle name="Percent (0) 5 18 3" xfId="3907" xr:uid="{E0FEAE55-29E4-4448-8B66-9D223BE516AE}"/>
    <cellStyle name="Percent (0) 5 19" xfId="1790" xr:uid="{00000000-0005-0000-0000-000006070000}"/>
    <cellStyle name="Percent (0) 5 19 2" xfId="5982" xr:uid="{C37BF40C-6B99-4AB0-AF49-E6927D849EF5}"/>
    <cellStyle name="Percent (0) 5 19 3" xfId="3908" xr:uid="{BB7A0B40-5499-41B9-BA04-70D89F7731D2}"/>
    <cellStyle name="Percent (0) 5 2" xfId="1791" xr:uid="{00000000-0005-0000-0000-000007070000}"/>
    <cellStyle name="Percent (0) 5 2 2" xfId="5983" xr:uid="{12E88124-005A-4AC1-A399-DA022F901347}"/>
    <cellStyle name="Percent (0) 5 2 3" xfId="3909" xr:uid="{934E31A5-1B02-48FE-BBDD-F7BDDBDB51DB}"/>
    <cellStyle name="Percent (0) 5 20" xfId="1792" xr:uid="{00000000-0005-0000-0000-000008070000}"/>
    <cellStyle name="Percent (0) 5 20 2" xfId="5984" xr:uid="{02714AC6-877C-40E6-B3ED-AB7DD4B1D06C}"/>
    <cellStyle name="Percent (0) 5 20 3" xfId="3910" xr:uid="{219CB38D-8828-441E-B666-32260318410C}"/>
    <cellStyle name="Percent (0) 5 21" xfId="1793" xr:uid="{00000000-0005-0000-0000-000009070000}"/>
    <cellStyle name="Percent (0) 5 21 2" xfId="5985" xr:uid="{15033E6F-A3CC-4299-BAE5-6C31DE16C8D2}"/>
    <cellStyle name="Percent (0) 5 21 3" xfId="3911" xr:uid="{E46228D2-F5BD-493D-B973-87A8B20B604B}"/>
    <cellStyle name="Percent (0) 5 22" xfId="1794" xr:uid="{00000000-0005-0000-0000-00000A070000}"/>
    <cellStyle name="Percent (0) 5 22 2" xfId="5986" xr:uid="{608B6F8C-A321-4A9C-81CD-9E2193EA7BBE}"/>
    <cellStyle name="Percent (0) 5 22 3" xfId="3912" xr:uid="{E6C98532-5429-43DB-8AC0-E085072D8DCF}"/>
    <cellStyle name="Percent (0) 5 23" xfId="1795" xr:uid="{00000000-0005-0000-0000-00000B070000}"/>
    <cellStyle name="Percent (0) 5 23 2" xfId="5987" xr:uid="{05B529C4-F2BC-4ECC-8014-08293A4BE018}"/>
    <cellStyle name="Percent (0) 5 23 3" xfId="3913" xr:uid="{FEC09783-1EF0-433F-8775-C6A95466EA63}"/>
    <cellStyle name="Percent (0) 5 24" xfId="1796" xr:uid="{00000000-0005-0000-0000-00000C070000}"/>
    <cellStyle name="Percent (0) 5 24 2" xfId="5988" xr:uid="{ED22ADCC-C81B-4D13-B2C7-CEE763B91115}"/>
    <cellStyle name="Percent (0) 5 24 3" xfId="3914" xr:uid="{8FF2EF5B-244B-48CA-AC73-2787DE7E08D0}"/>
    <cellStyle name="Percent (0) 5 25" xfId="1797" xr:uid="{00000000-0005-0000-0000-00000D070000}"/>
    <cellStyle name="Percent (0) 5 25 2" xfId="5989" xr:uid="{C7C2EC12-F837-4041-841C-AFAE40734A03}"/>
    <cellStyle name="Percent (0) 5 25 3" xfId="3915" xr:uid="{9EAFE04A-030D-4407-B3C5-2273D413744C}"/>
    <cellStyle name="Percent (0) 5 26" xfId="1798" xr:uid="{00000000-0005-0000-0000-00000E070000}"/>
    <cellStyle name="Percent (0) 5 26 2" xfId="5990" xr:uid="{BF76AAB4-2777-4BF0-9B93-2A215A9743F0}"/>
    <cellStyle name="Percent (0) 5 26 3" xfId="3916" xr:uid="{C5052757-BB4F-46AC-A79E-C9D44FF9F625}"/>
    <cellStyle name="Percent (0) 5 27" xfId="1799" xr:uid="{00000000-0005-0000-0000-00000F070000}"/>
    <cellStyle name="Percent (0) 5 27 2" xfId="5991" xr:uid="{46A05B91-B0CB-4145-BD36-605FDFCB9D8B}"/>
    <cellStyle name="Percent (0) 5 27 3" xfId="3917" xr:uid="{840D1E12-BD45-45A2-A08E-ECB69003B32E}"/>
    <cellStyle name="Percent (0) 5 28" xfId="1800" xr:uid="{00000000-0005-0000-0000-000010070000}"/>
    <cellStyle name="Percent (0) 5 28 2" xfId="5992" xr:uid="{BBAADA64-355A-4F6A-8527-407A60F9D346}"/>
    <cellStyle name="Percent (0) 5 28 3" xfId="3918" xr:uid="{B5691EAE-3B85-404A-A082-9EBD28BED4F4}"/>
    <cellStyle name="Percent (0) 5 29" xfId="1801" xr:uid="{00000000-0005-0000-0000-000011070000}"/>
    <cellStyle name="Percent (0) 5 29 2" xfId="5993" xr:uid="{45C1D0C0-E763-4D78-8915-D92258906699}"/>
    <cellStyle name="Percent (0) 5 29 3" xfId="3919" xr:uid="{5630A54C-E45D-48FA-BFA5-F4D2A9428F5E}"/>
    <cellStyle name="Percent (0) 5 3" xfId="1802" xr:uid="{00000000-0005-0000-0000-000012070000}"/>
    <cellStyle name="Percent (0) 5 3 2" xfId="5994" xr:uid="{FB628DF1-89C9-4E38-B850-0D7B8B751B07}"/>
    <cellStyle name="Percent (0) 5 3 3" xfId="3920" xr:uid="{9E42A74D-F783-4292-B0F0-D331356E4461}"/>
    <cellStyle name="Percent (0) 5 30" xfId="5972" xr:uid="{BD1CDB4A-062F-481E-A41C-A2C4D2591DA6}"/>
    <cellStyle name="Percent (0) 5 31" xfId="3898" xr:uid="{6AD6893A-AEE5-4BA3-A24D-6B135F715644}"/>
    <cellStyle name="Percent (0) 5 4" xfId="1803" xr:uid="{00000000-0005-0000-0000-000013070000}"/>
    <cellStyle name="Percent (0) 5 4 2" xfId="5995" xr:uid="{6DB2B144-E520-4CF8-95CD-92FC4FB223C3}"/>
    <cellStyle name="Percent (0) 5 4 3" xfId="3921" xr:uid="{71365D76-4667-4A5A-8697-0B040CEDD4FB}"/>
    <cellStyle name="Percent (0) 5 5" xfId="1804" xr:uid="{00000000-0005-0000-0000-000014070000}"/>
    <cellStyle name="Percent (0) 5 5 2" xfId="5996" xr:uid="{638542E6-0A78-43F0-ABBE-1F1634BA537E}"/>
    <cellStyle name="Percent (0) 5 5 3" xfId="3922" xr:uid="{93E9999B-EEAE-43F8-AE4E-A99A5ECFE2D2}"/>
    <cellStyle name="Percent (0) 5 6" xfId="1805" xr:uid="{00000000-0005-0000-0000-000015070000}"/>
    <cellStyle name="Percent (0) 5 6 2" xfId="5997" xr:uid="{7D5A398B-606C-4570-8964-91EF1737A1DB}"/>
    <cellStyle name="Percent (0) 5 6 3" xfId="3923" xr:uid="{76A4F8B4-5513-4C69-90F4-E3D4C346506F}"/>
    <cellStyle name="Percent (0) 5 7" xfId="1806" xr:uid="{00000000-0005-0000-0000-000016070000}"/>
    <cellStyle name="Percent (0) 5 7 2" xfId="5998" xr:uid="{5115C121-DF5E-4EF3-BA48-283C338CF9FC}"/>
    <cellStyle name="Percent (0) 5 7 3" xfId="3924" xr:uid="{DD4ED651-60EA-4B8B-A9C6-E40169276A1D}"/>
    <cellStyle name="Percent (0) 5 8" xfId="1807" xr:uid="{00000000-0005-0000-0000-000017070000}"/>
    <cellStyle name="Percent (0) 5 8 2" xfId="5999" xr:uid="{723574FF-2208-4607-8604-BC40D7862A19}"/>
    <cellStyle name="Percent (0) 5 8 3" xfId="3925" xr:uid="{A5C657EF-FAD5-4C4D-8596-9F8DBEF2AF1C}"/>
    <cellStyle name="Percent (0) 5 9" xfId="1808" xr:uid="{00000000-0005-0000-0000-000018070000}"/>
    <cellStyle name="Percent (0) 5 9 2" xfId="6000" xr:uid="{2760826A-A6ED-4550-A5D7-BA7579E29C7C}"/>
    <cellStyle name="Percent (0) 5 9 3" xfId="3926" xr:uid="{85F5F5B4-60AB-454C-A9D8-A75F467D9FE5}"/>
    <cellStyle name="Percent (0) 6" xfId="1809" xr:uid="{00000000-0005-0000-0000-000019070000}"/>
    <cellStyle name="Percent (0) 6 10" xfId="1810" xr:uid="{00000000-0005-0000-0000-00001A070000}"/>
    <cellStyle name="Percent (0) 6 10 2" xfId="6002" xr:uid="{28E5271B-3AEC-437A-81C8-26591DA3663B}"/>
    <cellStyle name="Percent (0) 6 10 3" xfId="3928" xr:uid="{0F3947ED-2B50-4728-9BF3-086DA4DDD860}"/>
    <cellStyle name="Percent (0) 6 11" xfId="1811" xr:uid="{00000000-0005-0000-0000-00001B070000}"/>
    <cellStyle name="Percent (0) 6 11 2" xfId="6003" xr:uid="{0AB19064-E19D-4127-9D36-4AFF4C339454}"/>
    <cellStyle name="Percent (0) 6 11 3" xfId="3929" xr:uid="{5BC4E23C-1EDE-47E0-BB56-39841008863C}"/>
    <cellStyle name="Percent (0) 6 12" xfId="1812" xr:uid="{00000000-0005-0000-0000-00001C070000}"/>
    <cellStyle name="Percent (0) 6 12 2" xfId="6004" xr:uid="{5115A1FC-4E58-401E-8C3A-045F9B4C71F2}"/>
    <cellStyle name="Percent (0) 6 12 3" xfId="3930" xr:uid="{A3C50F60-8095-4912-9144-9F2959F88BC9}"/>
    <cellStyle name="Percent (0) 6 13" xfId="1813" xr:uid="{00000000-0005-0000-0000-00001D070000}"/>
    <cellStyle name="Percent (0) 6 13 2" xfId="6005" xr:uid="{ACA328CE-6462-4F1E-AB3B-89815B330B05}"/>
    <cellStyle name="Percent (0) 6 13 3" xfId="3931" xr:uid="{A03A3499-2C90-468C-8A39-653F9A06A9A0}"/>
    <cellStyle name="Percent (0) 6 14" xfId="1814" xr:uid="{00000000-0005-0000-0000-00001E070000}"/>
    <cellStyle name="Percent (0) 6 14 2" xfId="6006" xr:uid="{A29D021F-C74D-44E5-B171-9DBE030AEBDC}"/>
    <cellStyle name="Percent (0) 6 14 3" xfId="3932" xr:uid="{730994FC-56BE-493F-B520-99A6657332A8}"/>
    <cellStyle name="Percent (0) 6 15" xfId="1815" xr:uid="{00000000-0005-0000-0000-00001F070000}"/>
    <cellStyle name="Percent (0) 6 15 2" xfId="6007" xr:uid="{1A11FDBE-4D79-408A-860A-7C59B4369ABC}"/>
    <cellStyle name="Percent (0) 6 15 3" xfId="3933" xr:uid="{B0551BF3-BDC8-40EE-AAEA-7A0694667EDD}"/>
    <cellStyle name="Percent (0) 6 16" xfId="1816" xr:uid="{00000000-0005-0000-0000-000020070000}"/>
    <cellStyle name="Percent (0) 6 16 2" xfId="6008" xr:uid="{2AA5256C-3F76-4165-A7C4-C954561CE66C}"/>
    <cellStyle name="Percent (0) 6 16 3" xfId="3934" xr:uid="{CDD9CEAF-B9EA-4F7E-9E60-C76C000F3986}"/>
    <cellStyle name="Percent (0) 6 17" xfId="1817" xr:uid="{00000000-0005-0000-0000-000021070000}"/>
    <cellStyle name="Percent (0) 6 17 2" xfId="6009" xr:uid="{E88D75FD-2CBF-4F0A-B1EE-30CF256A178A}"/>
    <cellStyle name="Percent (0) 6 17 3" xfId="3935" xr:uid="{0185FA67-7744-4053-817E-B6D2C3A167A8}"/>
    <cellStyle name="Percent (0) 6 18" xfId="1818" xr:uid="{00000000-0005-0000-0000-000022070000}"/>
    <cellStyle name="Percent (0) 6 18 2" xfId="6010" xr:uid="{1EE02D24-E209-4511-A404-941391C4449A}"/>
    <cellStyle name="Percent (0) 6 18 3" xfId="3936" xr:uid="{33D66643-BA88-4226-8629-F8C206B7CD71}"/>
    <cellStyle name="Percent (0) 6 19" xfId="1819" xr:uid="{00000000-0005-0000-0000-000023070000}"/>
    <cellStyle name="Percent (0) 6 19 2" xfId="6011" xr:uid="{8AB747A0-25A8-4DA6-9A0D-0FB6A8150E43}"/>
    <cellStyle name="Percent (0) 6 19 3" xfId="3937" xr:uid="{40324CA1-99D2-4C6F-B050-1F8916690904}"/>
    <cellStyle name="Percent (0) 6 2" xfId="1820" xr:uid="{00000000-0005-0000-0000-000024070000}"/>
    <cellStyle name="Percent (0) 6 2 2" xfId="6012" xr:uid="{AA7092F7-BEB9-45F7-A14D-98549EA34005}"/>
    <cellStyle name="Percent (0) 6 2 3" xfId="3938" xr:uid="{A25B7BFB-279E-4F04-9472-97E4FBFF8BEA}"/>
    <cellStyle name="Percent (0) 6 20" xfId="1821" xr:uid="{00000000-0005-0000-0000-000025070000}"/>
    <cellStyle name="Percent (0) 6 20 2" xfId="6013" xr:uid="{A27C517E-CF44-4706-A483-BB05296965A1}"/>
    <cellStyle name="Percent (0) 6 20 3" xfId="3939" xr:uid="{F604BDD8-9A0D-4D2F-8B40-51C8B8393CC9}"/>
    <cellStyle name="Percent (0) 6 21" xfId="1822" xr:uid="{00000000-0005-0000-0000-000026070000}"/>
    <cellStyle name="Percent (0) 6 21 2" xfId="6014" xr:uid="{F32A8A71-7F0D-49FC-BAB5-7F4E7782D908}"/>
    <cellStyle name="Percent (0) 6 21 3" xfId="3940" xr:uid="{462BC176-81F2-4B3D-9C72-A32354934618}"/>
    <cellStyle name="Percent (0) 6 22" xfId="1823" xr:uid="{00000000-0005-0000-0000-000027070000}"/>
    <cellStyle name="Percent (0) 6 22 2" xfId="6015" xr:uid="{7894620B-7A08-4D3B-9B86-FFAEF1BBDC95}"/>
    <cellStyle name="Percent (0) 6 22 3" xfId="3941" xr:uid="{15F653A8-BFD9-4089-9E69-550DBD83B80C}"/>
    <cellStyle name="Percent (0) 6 23" xfId="1824" xr:uid="{00000000-0005-0000-0000-000028070000}"/>
    <cellStyle name="Percent (0) 6 23 2" xfId="6016" xr:uid="{E25B6370-8078-4291-AF19-812209DBC41E}"/>
    <cellStyle name="Percent (0) 6 23 3" xfId="3942" xr:uid="{E5F6EF2A-061C-40C5-92FC-AE035205CE1C}"/>
    <cellStyle name="Percent (0) 6 24" xfId="1825" xr:uid="{00000000-0005-0000-0000-000029070000}"/>
    <cellStyle name="Percent (0) 6 24 2" xfId="6017" xr:uid="{1D2E7AA6-1DA0-4A0B-9589-00425FEC0552}"/>
    <cellStyle name="Percent (0) 6 24 3" xfId="3943" xr:uid="{D591959B-CC49-4123-A72F-64598AEBA2F8}"/>
    <cellStyle name="Percent (0) 6 25" xfId="1826" xr:uid="{00000000-0005-0000-0000-00002A070000}"/>
    <cellStyle name="Percent (0) 6 25 2" xfId="6018" xr:uid="{511B1A34-F565-4CE0-BEC0-3DA8B78DCD5C}"/>
    <cellStyle name="Percent (0) 6 25 3" xfId="3944" xr:uid="{5BB23ED1-6433-45E0-BEA7-7FA4F042E0D0}"/>
    <cellStyle name="Percent (0) 6 26" xfId="1827" xr:uid="{00000000-0005-0000-0000-00002B070000}"/>
    <cellStyle name="Percent (0) 6 26 2" xfId="6019" xr:uid="{3EFC480A-7334-41F0-A47E-53BBB478A0F9}"/>
    <cellStyle name="Percent (0) 6 26 3" xfId="3945" xr:uid="{8FE5F031-4FD0-4CF1-A421-6A646A7D3845}"/>
    <cellStyle name="Percent (0) 6 27" xfId="1828" xr:uid="{00000000-0005-0000-0000-00002C070000}"/>
    <cellStyle name="Percent (0) 6 27 2" xfId="6020" xr:uid="{985FA328-2438-4FD4-9440-42E090127CBD}"/>
    <cellStyle name="Percent (0) 6 27 3" xfId="3946" xr:uid="{D3DF6CAE-3094-416B-86A6-A085868FB01D}"/>
    <cellStyle name="Percent (0) 6 28" xfId="1829" xr:uid="{00000000-0005-0000-0000-00002D070000}"/>
    <cellStyle name="Percent (0) 6 28 2" xfId="6021" xr:uid="{361D160C-2F3D-436C-964B-82B0A16721D2}"/>
    <cellStyle name="Percent (0) 6 28 3" xfId="3947" xr:uid="{C893EDB1-C5A2-4521-A6AE-4C0AB65FE1EB}"/>
    <cellStyle name="Percent (0) 6 29" xfId="1830" xr:uid="{00000000-0005-0000-0000-00002E070000}"/>
    <cellStyle name="Percent (0) 6 29 2" xfId="6022" xr:uid="{91775D55-4BA4-4E88-981F-8C76854CBE3F}"/>
    <cellStyle name="Percent (0) 6 29 3" xfId="3948" xr:uid="{1274C094-0D07-4DD7-96F0-21F9E2E95686}"/>
    <cellStyle name="Percent (0) 6 3" xfId="1831" xr:uid="{00000000-0005-0000-0000-00002F070000}"/>
    <cellStyle name="Percent (0) 6 3 2" xfId="6023" xr:uid="{3A423D75-E45B-416E-A898-8F3258D6117B}"/>
    <cellStyle name="Percent (0) 6 3 3" xfId="3949" xr:uid="{2EA2EBE3-8752-4B6D-B22B-C3AD19CB636E}"/>
    <cellStyle name="Percent (0) 6 30" xfId="6001" xr:uid="{8430A65E-309B-4CFE-8065-EEAE97C8A194}"/>
    <cellStyle name="Percent (0) 6 31" xfId="3927" xr:uid="{6F10EAFD-393C-49F1-84F9-856DF29D0565}"/>
    <cellStyle name="Percent (0) 6 4" xfId="1832" xr:uid="{00000000-0005-0000-0000-000030070000}"/>
    <cellStyle name="Percent (0) 6 4 2" xfId="6024" xr:uid="{61FE2857-215A-44C4-A980-0B9A5AED8D20}"/>
    <cellStyle name="Percent (0) 6 4 3" xfId="3950" xr:uid="{C6E5FF1B-136A-4BFE-91F8-0966627511E6}"/>
    <cellStyle name="Percent (0) 6 5" xfId="1833" xr:uid="{00000000-0005-0000-0000-000031070000}"/>
    <cellStyle name="Percent (0) 6 5 2" xfId="6025" xr:uid="{B02B2987-BD01-4411-BA08-A593C3E9C4C2}"/>
    <cellStyle name="Percent (0) 6 5 3" xfId="3951" xr:uid="{3D3B4CFA-32EC-41C5-9ABB-200D82E7A170}"/>
    <cellStyle name="Percent (0) 6 6" xfId="1834" xr:uid="{00000000-0005-0000-0000-000032070000}"/>
    <cellStyle name="Percent (0) 6 6 2" xfId="6026" xr:uid="{61C6A840-107E-4864-B1D1-29949577002C}"/>
    <cellStyle name="Percent (0) 6 6 3" xfId="3952" xr:uid="{2D371524-0277-44D1-971D-9881CA16B1F7}"/>
    <cellStyle name="Percent (0) 6 7" xfId="1835" xr:uid="{00000000-0005-0000-0000-000033070000}"/>
    <cellStyle name="Percent (0) 6 7 2" xfId="6027" xr:uid="{0BCF49F3-AEC7-46A7-86A1-B6610A9CF043}"/>
    <cellStyle name="Percent (0) 6 7 3" xfId="3953" xr:uid="{CECE0BBB-454B-48E5-BE5D-171F25BCFF27}"/>
    <cellStyle name="Percent (0) 6 8" xfId="1836" xr:uid="{00000000-0005-0000-0000-000034070000}"/>
    <cellStyle name="Percent (0) 6 8 2" xfId="6028" xr:uid="{26E9081F-3045-4C20-AF68-BD365829B156}"/>
    <cellStyle name="Percent (0) 6 8 3" xfId="3954" xr:uid="{3A1B1305-8C97-473C-8E70-D9C97AF5DDBB}"/>
    <cellStyle name="Percent (0) 6 9" xfId="1837" xr:uid="{00000000-0005-0000-0000-000035070000}"/>
    <cellStyle name="Percent (0) 6 9 2" xfId="6029" xr:uid="{E340C612-2650-4B12-B4AA-64A8777DF1A7}"/>
    <cellStyle name="Percent (0) 6 9 3" xfId="3955" xr:uid="{FF353131-24F8-4A14-9FF7-9E307992667D}"/>
    <cellStyle name="Percent (0) 7" xfId="5884" xr:uid="{7AAEDD1A-DEDB-4FA8-BC2A-5DB98BAEA3EF}"/>
    <cellStyle name="Percent (0) 8" xfId="3810" xr:uid="{7F7D28A7-11C2-4DE0-8FF1-24A44CFEEE54}"/>
    <cellStyle name="Percent [2]" xfId="1838" xr:uid="{00000000-0005-0000-0000-000036070000}"/>
    <cellStyle name="Percent [2] 2" xfId="1839" xr:uid="{00000000-0005-0000-0000-000037070000}"/>
    <cellStyle name="Percent [2] 2 10" xfId="1840" xr:uid="{00000000-0005-0000-0000-000038070000}"/>
    <cellStyle name="Percent [2] 2 10 2" xfId="6032" xr:uid="{C7132BEC-756A-4AB2-895E-3A79B17A04BD}"/>
    <cellStyle name="Percent [2] 2 10 3" xfId="3958" xr:uid="{F99EF74F-13BF-49A6-9C47-D2376B216828}"/>
    <cellStyle name="Percent [2] 2 11" xfId="1841" xr:uid="{00000000-0005-0000-0000-000039070000}"/>
    <cellStyle name="Percent [2] 2 11 2" xfId="6033" xr:uid="{4E657932-8FD6-49B6-8A63-8752F920FFA8}"/>
    <cellStyle name="Percent [2] 2 11 3" xfId="3959" xr:uid="{54D4AEAA-6031-4DC7-B370-A6DB56E9FDDB}"/>
    <cellStyle name="Percent [2] 2 12" xfId="1842" xr:uid="{00000000-0005-0000-0000-00003A070000}"/>
    <cellStyle name="Percent [2] 2 12 2" xfId="6034" xr:uid="{8C42FF5B-8B5D-4F88-B905-DFDEF234D221}"/>
    <cellStyle name="Percent [2] 2 12 3" xfId="3960" xr:uid="{473E12C4-1FA9-4F53-A156-2A65A2943D1A}"/>
    <cellStyle name="Percent [2] 2 13" xfId="1843" xr:uid="{00000000-0005-0000-0000-00003B070000}"/>
    <cellStyle name="Percent [2] 2 13 2" xfId="6035" xr:uid="{7A1472EB-EF40-4B8D-89F8-9DDF0CE3A12E}"/>
    <cellStyle name="Percent [2] 2 13 3" xfId="3961" xr:uid="{369F0011-B5F7-4E92-BE14-E0B4B73F9807}"/>
    <cellStyle name="Percent [2] 2 14" xfId="1844" xr:uid="{00000000-0005-0000-0000-00003C070000}"/>
    <cellStyle name="Percent [2] 2 14 2" xfId="6036" xr:uid="{C484DB17-E99E-440F-BB9D-4941C8D9AAEC}"/>
    <cellStyle name="Percent [2] 2 14 3" xfId="3962" xr:uid="{17958206-B668-4879-A856-1DEBD0680A89}"/>
    <cellStyle name="Percent [2] 2 15" xfId="1845" xr:uid="{00000000-0005-0000-0000-00003D070000}"/>
    <cellStyle name="Percent [2] 2 15 2" xfId="6037" xr:uid="{8BF65DF7-9212-4BF7-A56F-E722B15D741F}"/>
    <cellStyle name="Percent [2] 2 15 3" xfId="3963" xr:uid="{5E922004-2A99-4B8E-AA05-C544130CB0D4}"/>
    <cellStyle name="Percent [2] 2 16" xfId="1846" xr:uid="{00000000-0005-0000-0000-00003E070000}"/>
    <cellStyle name="Percent [2] 2 16 2" xfId="6038" xr:uid="{9CB5C301-5576-4ABC-B577-744B2205F88A}"/>
    <cellStyle name="Percent [2] 2 16 3" xfId="3964" xr:uid="{2BDAB1F2-713D-4BCB-A0B6-9EC552BD29B5}"/>
    <cellStyle name="Percent [2] 2 17" xfId="1847" xr:uid="{00000000-0005-0000-0000-00003F070000}"/>
    <cellStyle name="Percent [2] 2 17 2" xfId="6039" xr:uid="{05AFEBB4-4E0E-4AFF-B6FA-B86F3616C03D}"/>
    <cellStyle name="Percent [2] 2 17 3" xfId="3965" xr:uid="{24CCA0D1-D9E7-4C90-9C73-3E5FC3B9D418}"/>
    <cellStyle name="Percent [2] 2 18" xfId="1848" xr:uid="{00000000-0005-0000-0000-000040070000}"/>
    <cellStyle name="Percent [2] 2 18 2" xfId="6040" xr:uid="{BFDC8CB0-9456-4DF2-A790-A9DB4845AE27}"/>
    <cellStyle name="Percent [2] 2 18 3" xfId="3966" xr:uid="{B317F8E7-DEC8-408F-AE2F-742C7FCEB01D}"/>
    <cellStyle name="Percent [2] 2 19" xfId="1849" xr:uid="{00000000-0005-0000-0000-000041070000}"/>
    <cellStyle name="Percent [2] 2 19 2" xfId="6041" xr:uid="{E2D96BF8-34C6-458C-95AA-E80A1D577D84}"/>
    <cellStyle name="Percent [2] 2 19 3" xfId="3967" xr:uid="{0BA00EE0-07F3-4ACF-9588-6C2C6C45B78B}"/>
    <cellStyle name="Percent [2] 2 2" xfId="1850" xr:uid="{00000000-0005-0000-0000-000042070000}"/>
    <cellStyle name="Percent [2] 2 2 2" xfId="6042" xr:uid="{3E845530-49B9-457A-A6B1-3C1028CBB607}"/>
    <cellStyle name="Percent [2] 2 2 3" xfId="3968" xr:uid="{1ED577B3-E1E9-47F8-B374-BF1F7F0797A6}"/>
    <cellStyle name="Percent [2] 2 20" xfId="1851" xr:uid="{00000000-0005-0000-0000-000043070000}"/>
    <cellStyle name="Percent [2] 2 20 2" xfId="6043" xr:uid="{0A10F729-47F2-4C54-91CC-3929EB848717}"/>
    <cellStyle name="Percent [2] 2 20 3" xfId="3969" xr:uid="{1CC1D0C8-8DC9-4931-A7A3-F90214C202ED}"/>
    <cellStyle name="Percent [2] 2 21" xfId="1852" xr:uid="{00000000-0005-0000-0000-000044070000}"/>
    <cellStyle name="Percent [2] 2 21 2" xfId="6044" xr:uid="{E01E0ACE-A268-44F6-8639-38E3ECAD09C5}"/>
    <cellStyle name="Percent [2] 2 21 3" xfId="3970" xr:uid="{4EF0173A-61E5-4C52-9B6E-00447F748FC4}"/>
    <cellStyle name="Percent [2] 2 22" xfId="1853" xr:uid="{00000000-0005-0000-0000-000045070000}"/>
    <cellStyle name="Percent [2] 2 22 2" xfId="6045" xr:uid="{6B3C9319-CD63-4FEB-B31A-13558C9795BE}"/>
    <cellStyle name="Percent [2] 2 22 3" xfId="3971" xr:uid="{FB5A4BFD-E466-4E3F-8766-E23F9A19F55D}"/>
    <cellStyle name="Percent [2] 2 23" xfId="1854" xr:uid="{00000000-0005-0000-0000-000046070000}"/>
    <cellStyle name="Percent [2] 2 23 2" xfId="6046" xr:uid="{E34CB91A-1508-4E9F-A674-3381F2516778}"/>
    <cellStyle name="Percent [2] 2 23 3" xfId="3972" xr:uid="{DDAF634B-C71C-4A1F-AC22-4461AA1E6BAD}"/>
    <cellStyle name="Percent [2] 2 24" xfId="1855" xr:uid="{00000000-0005-0000-0000-000047070000}"/>
    <cellStyle name="Percent [2] 2 24 2" xfId="6047" xr:uid="{CB520E34-B660-448F-9F60-DE33A349862B}"/>
    <cellStyle name="Percent [2] 2 24 3" xfId="3973" xr:uid="{7C714953-241E-4B80-B696-DC35430337F5}"/>
    <cellStyle name="Percent [2] 2 25" xfId="1856" xr:uid="{00000000-0005-0000-0000-000048070000}"/>
    <cellStyle name="Percent [2] 2 25 2" xfId="6048" xr:uid="{08975BFF-AD83-48A8-A8BF-9B9815FE7F66}"/>
    <cellStyle name="Percent [2] 2 25 3" xfId="3974" xr:uid="{77659DE1-95F9-472D-A6EA-64127C926E75}"/>
    <cellStyle name="Percent [2] 2 26" xfId="1857" xr:uid="{00000000-0005-0000-0000-000049070000}"/>
    <cellStyle name="Percent [2] 2 26 2" xfId="6049" xr:uid="{D58BF835-0193-4A20-B6E1-AC5ACB17F0BC}"/>
    <cellStyle name="Percent [2] 2 26 3" xfId="3975" xr:uid="{CE391506-079D-431E-B24C-329519D1D479}"/>
    <cellStyle name="Percent [2] 2 27" xfId="1858" xr:uid="{00000000-0005-0000-0000-00004A070000}"/>
    <cellStyle name="Percent [2] 2 27 2" xfId="6050" xr:uid="{11ABE33C-401E-414E-8647-9E2D5B11EB96}"/>
    <cellStyle name="Percent [2] 2 27 3" xfId="3976" xr:uid="{05C1E46B-129C-4C04-9B27-9FFCB6C5A2F5}"/>
    <cellStyle name="Percent [2] 2 28" xfId="1859" xr:uid="{00000000-0005-0000-0000-00004B070000}"/>
    <cellStyle name="Percent [2] 2 28 2" xfId="6051" xr:uid="{BC816560-2EF7-430A-9911-E9088AF8B811}"/>
    <cellStyle name="Percent [2] 2 28 3" xfId="3977" xr:uid="{4EC6FE91-A3BB-4B03-B545-A8C8565371B0}"/>
    <cellStyle name="Percent [2] 2 29" xfId="1860" xr:uid="{00000000-0005-0000-0000-00004C070000}"/>
    <cellStyle name="Percent [2] 2 29 2" xfId="6052" xr:uid="{43C9C2F8-280B-4F78-8663-528D17F46F45}"/>
    <cellStyle name="Percent [2] 2 29 3" xfId="3978" xr:uid="{72990FCE-2EF5-4807-AFD5-23A1F8803EA0}"/>
    <cellStyle name="Percent [2] 2 3" xfId="1861" xr:uid="{00000000-0005-0000-0000-00004D070000}"/>
    <cellStyle name="Percent [2] 2 3 2" xfId="6053" xr:uid="{CCEC8FFB-774C-4D51-8A5C-B1A8AB9D5373}"/>
    <cellStyle name="Percent [2] 2 3 3" xfId="3979" xr:uid="{6FFF6515-980D-4708-B3B0-3F82C0602DDC}"/>
    <cellStyle name="Percent [2] 2 30" xfId="6031" xr:uid="{88F4A570-B97D-49F1-A2A7-17F564ECD220}"/>
    <cellStyle name="Percent [2] 2 31" xfId="3957" xr:uid="{C7F694CB-B94E-4CF3-8965-E2F466973249}"/>
    <cellStyle name="Percent [2] 2 4" xfId="1862" xr:uid="{00000000-0005-0000-0000-00004E070000}"/>
    <cellStyle name="Percent [2] 2 4 2" xfId="6054" xr:uid="{7EB15C94-0984-4695-86AB-438D39DD8129}"/>
    <cellStyle name="Percent [2] 2 4 3" xfId="3980" xr:uid="{BD7A870F-3EB8-494F-B03C-3D69B3A0AA7E}"/>
    <cellStyle name="Percent [2] 2 5" xfId="1863" xr:uid="{00000000-0005-0000-0000-00004F070000}"/>
    <cellStyle name="Percent [2] 2 5 2" xfId="6055" xr:uid="{5F0509A3-0645-4DC2-9E72-DDD9D453B7A3}"/>
    <cellStyle name="Percent [2] 2 5 3" xfId="3981" xr:uid="{F445B4F0-90AA-478D-B6B4-E971A686FC7F}"/>
    <cellStyle name="Percent [2] 2 6" xfId="1864" xr:uid="{00000000-0005-0000-0000-000050070000}"/>
    <cellStyle name="Percent [2] 2 6 2" xfId="6056" xr:uid="{9D357655-F241-480A-9551-C5B2B2196A8A}"/>
    <cellStyle name="Percent [2] 2 6 3" xfId="3982" xr:uid="{D4736400-8DA7-4253-B99A-513BC2417A0B}"/>
    <cellStyle name="Percent [2] 2 7" xfId="1865" xr:uid="{00000000-0005-0000-0000-000051070000}"/>
    <cellStyle name="Percent [2] 2 7 2" xfId="6057" xr:uid="{CFE4826F-B2A0-4CBF-86CE-606FC3806862}"/>
    <cellStyle name="Percent [2] 2 7 3" xfId="3983" xr:uid="{9FAD1E0A-E620-4EC1-A64E-EF5BF9E190C8}"/>
    <cellStyle name="Percent [2] 2 8" xfId="1866" xr:uid="{00000000-0005-0000-0000-000052070000}"/>
    <cellStyle name="Percent [2] 2 8 2" xfId="6058" xr:uid="{C14EE2E3-5450-42A3-9391-A366ED92077C}"/>
    <cellStyle name="Percent [2] 2 8 3" xfId="3984" xr:uid="{4FB8232B-7C3C-458C-AC5B-9296C2BC49DF}"/>
    <cellStyle name="Percent [2] 2 9" xfId="1867" xr:uid="{00000000-0005-0000-0000-000053070000}"/>
    <cellStyle name="Percent [2] 2 9 2" xfId="6059" xr:uid="{AE60AA8F-3825-41E1-8772-B8278C66EF4C}"/>
    <cellStyle name="Percent [2] 2 9 3" xfId="3985" xr:uid="{633128B4-093D-4E34-B3C0-B4750131FF80}"/>
    <cellStyle name="Percent [2] 3" xfId="1868" xr:uid="{00000000-0005-0000-0000-000054070000}"/>
    <cellStyle name="Percent [2] 3 10" xfId="1869" xr:uid="{00000000-0005-0000-0000-000055070000}"/>
    <cellStyle name="Percent [2] 3 10 2" xfId="6061" xr:uid="{D4AC41FE-D52B-4351-948A-2983B0604EE5}"/>
    <cellStyle name="Percent [2] 3 10 3" xfId="3987" xr:uid="{B18D446C-9AAA-45F4-913C-853AAA90C4D0}"/>
    <cellStyle name="Percent [2] 3 11" xfId="1870" xr:uid="{00000000-0005-0000-0000-000056070000}"/>
    <cellStyle name="Percent [2] 3 11 2" xfId="6062" xr:uid="{513BCC30-6A23-4823-9F5F-AD68B6068F1E}"/>
    <cellStyle name="Percent [2] 3 11 3" xfId="3988" xr:uid="{839C6CEB-1456-4B92-B290-A4BDC3BEED2E}"/>
    <cellStyle name="Percent [2] 3 12" xfId="1871" xr:uid="{00000000-0005-0000-0000-000057070000}"/>
    <cellStyle name="Percent [2] 3 12 2" xfId="6063" xr:uid="{F5E5A9E6-2D93-42C3-A2FC-A1ADC4F2DB38}"/>
    <cellStyle name="Percent [2] 3 12 3" xfId="3989" xr:uid="{42C3E02E-105E-4E48-BF90-43A3051AD8A7}"/>
    <cellStyle name="Percent [2] 3 13" xfId="1872" xr:uid="{00000000-0005-0000-0000-000058070000}"/>
    <cellStyle name="Percent [2] 3 13 2" xfId="6064" xr:uid="{7C01843A-D36C-4C24-8548-64515C7A3F71}"/>
    <cellStyle name="Percent [2] 3 13 3" xfId="3990" xr:uid="{C0F2DE18-94AB-4A95-934E-32F9C08BB6C4}"/>
    <cellStyle name="Percent [2] 3 14" xfId="1873" xr:uid="{00000000-0005-0000-0000-000059070000}"/>
    <cellStyle name="Percent [2] 3 14 2" xfId="6065" xr:uid="{00FDAFC1-F900-4056-A03D-62688A5D8788}"/>
    <cellStyle name="Percent [2] 3 14 3" xfId="3991" xr:uid="{19F86E20-EDDA-4E2C-AEEC-A4BEB2F86387}"/>
    <cellStyle name="Percent [2] 3 15" xfId="1874" xr:uid="{00000000-0005-0000-0000-00005A070000}"/>
    <cellStyle name="Percent [2] 3 15 2" xfId="6066" xr:uid="{5C6A5335-6AD4-4173-B686-A2A7A495921E}"/>
    <cellStyle name="Percent [2] 3 15 3" xfId="3992" xr:uid="{4D7AEAAE-0175-4E14-9468-66000685AFBC}"/>
    <cellStyle name="Percent [2] 3 16" xfId="1875" xr:uid="{00000000-0005-0000-0000-00005B070000}"/>
    <cellStyle name="Percent [2] 3 16 2" xfId="6067" xr:uid="{CCCEB740-7EBB-4164-8CAA-B966A79FA1CA}"/>
    <cellStyle name="Percent [2] 3 16 3" xfId="3993" xr:uid="{517DE834-FAA8-4F7F-972E-948EF0C13D5E}"/>
    <cellStyle name="Percent [2] 3 17" xfId="1876" xr:uid="{00000000-0005-0000-0000-00005C070000}"/>
    <cellStyle name="Percent [2] 3 17 2" xfId="6068" xr:uid="{43540082-BDCF-4856-A7C0-F5E2111270E0}"/>
    <cellStyle name="Percent [2] 3 17 3" xfId="3994" xr:uid="{A50CCF56-6375-4018-B37D-4C5C6A672D1C}"/>
    <cellStyle name="Percent [2] 3 18" xfId="1877" xr:uid="{00000000-0005-0000-0000-00005D070000}"/>
    <cellStyle name="Percent [2] 3 18 2" xfId="6069" xr:uid="{1BFE601F-A567-4E18-8A3C-8791A90600BF}"/>
    <cellStyle name="Percent [2] 3 18 3" xfId="3995" xr:uid="{5138D6C1-CF2D-41C9-848B-A6E200A74340}"/>
    <cellStyle name="Percent [2] 3 19" xfId="1878" xr:uid="{00000000-0005-0000-0000-00005E070000}"/>
    <cellStyle name="Percent [2] 3 19 2" xfId="6070" xr:uid="{B504B19E-0247-4274-A952-C382FBD1D0D4}"/>
    <cellStyle name="Percent [2] 3 19 3" xfId="3996" xr:uid="{BED27E6C-6ECE-4416-95E8-6C9BAEF25771}"/>
    <cellStyle name="Percent [2] 3 2" xfId="1879" xr:uid="{00000000-0005-0000-0000-00005F070000}"/>
    <cellStyle name="Percent [2] 3 2 2" xfId="6071" xr:uid="{1864FD97-F4B7-434F-A675-B0DDD4DE0FD8}"/>
    <cellStyle name="Percent [2] 3 2 3" xfId="3997" xr:uid="{CD0B7B21-8DEB-48C5-9E68-03C2404E567A}"/>
    <cellStyle name="Percent [2] 3 20" xfId="1880" xr:uid="{00000000-0005-0000-0000-000060070000}"/>
    <cellStyle name="Percent [2] 3 20 2" xfId="6072" xr:uid="{AA2E8372-497A-47DB-88C4-3E4B2279FC7A}"/>
    <cellStyle name="Percent [2] 3 20 3" xfId="3998" xr:uid="{F598241A-3B5E-417E-9E38-5FCAA20AF22A}"/>
    <cellStyle name="Percent [2] 3 21" xfId="1881" xr:uid="{00000000-0005-0000-0000-000061070000}"/>
    <cellStyle name="Percent [2] 3 21 2" xfId="6073" xr:uid="{C3E87AD0-52EF-42DA-949E-A1437BC999E0}"/>
    <cellStyle name="Percent [2] 3 21 3" xfId="3999" xr:uid="{0FFD77DB-8E40-4721-8D3F-4C1E1FEBFA03}"/>
    <cellStyle name="Percent [2] 3 22" xfId="1882" xr:uid="{00000000-0005-0000-0000-000062070000}"/>
    <cellStyle name="Percent [2] 3 22 2" xfId="6074" xr:uid="{CD50EA31-FAC0-4523-84A8-148DFDEDAC46}"/>
    <cellStyle name="Percent [2] 3 22 3" xfId="4000" xr:uid="{30A4543B-E883-4EC9-B4FB-967DEE984E0F}"/>
    <cellStyle name="Percent [2] 3 23" xfId="1883" xr:uid="{00000000-0005-0000-0000-000063070000}"/>
    <cellStyle name="Percent [2] 3 23 2" xfId="6075" xr:uid="{4F4131C9-65F5-42CE-AAD4-EB9147560950}"/>
    <cellStyle name="Percent [2] 3 23 3" xfId="4001" xr:uid="{D13E4CE9-E414-4B03-9B5A-725E52C5F90B}"/>
    <cellStyle name="Percent [2] 3 24" xfId="1884" xr:uid="{00000000-0005-0000-0000-000064070000}"/>
    <cellStyle name="Percent [2] 3 24 2" xfId="6076" xr:uid="{3037F853-3E46-4421-BFC2-2D5557D1E10F}"/>
    <cellStyle name="Percent [2] 3 24 3" xfId="4002" xr:uid="{D6D3E54F-89C3-4DA1-8346-C0605F953B39}"/>
    <cellStyle name="Percent [2] 3 25" xfId="1885" xr:uid="{00000000-0005-0000-0000-000065070000}"/>
    <cellStyle name="Percent [2] 3 25 2" xfId="6077" xr:uid="{2C92FCDD-2FBD-4CC6-9791-7C996275D0DB}"/>
    <cellStyle name="Percent [2] 3 25 3" xfId="4003" xr:uid="{B5246B24-0B58-4C20-98CD-454C96E44F73}"/>
    <cellStyle name="Percent [2] 3 26" xfId="1886" xr:uid="{00000000-0005-0000-0000-000066070000}"/>
    <cellStyle name="Percent [2] 3 26 2" xfId="6078" xr:uid="{EBD21526-9BEC-4FD7-B67C-BC54E3E8FC35}"/>
    <cellStyle name="Percent [2] 3 26 3" xfId="4004" xr:uid="{5011B193-3816-44CA-A8B0-CBDEBD9B40E8}"/>
    <cellStyle name="Percent [2] 3 27" xfId="1887" xr:uid="{00000000-0005-0000-0000-000067070000}"/>
    <cellStyle name="Percent [2] 3 27 2" xfId="6079" xr:uid="{030B73DC-38A6-4D24-81BC-94376FF5AF79}"/>
    <cellStyle name="Percent [2] 3 27 3" xfId="4005" xr:uid="{FBA17B8F-3C86-4785-B547-BDDDF2D822CB}"/>
    <cellStyle name="Percent [2] 3 28" xfId="1888" xr:uid="{00000000-0005-0000-0000-000068070000}"/>
    <cellStyle name="Percent [2] 3 28 2" xfId="6080" xr:uid="{49333332-BEF0-4162-8F84-9405AB4BB5BB}"/>
    <cellStyle name="Percent [2] 3 28 3" xfId="4006" xr:uid="{BDB57012-8387-4444-A148-8C76C8AFE700}"/>
    <cellStyle name="Percent [2] 3 29" xfId="1889" xr:uid="{00000000-0005-0000-0000-000069070000}"/>
    <cellStyle name="Percent [2] 3 29 2" xfId="6081" xr:uid="{B6CD33AC-0885-428E-BDE5-A8BFEB0CE39A}"/>
    <cellStyle name="Percent [2] 3 29 3" xfId="4007" xr:uid="{FD564EA6-D8DE-4CC0-B4EC-5F3BD0D86D81}"/>
    <cellStyle name="Percent [2] 3 3" xfId="1890" xr:uid="{00000000-0005-0000-0000-00006A070000}"/>
    <cellStyle name="Percent [2] 3 3 2" xfId="6082" xr:uid="{F38C2E99-9B61-4CDF-B230-47D1B120C5CF}"/>
    <cellStyle name="Percent [2] 3 3 3" xfId="4008" xr:uid="{6A0302CC-2368-49AE-B445-E931A99225B9}"/>
    <cellStyle name="Percent [2] 3 30" xfId="6060" xr:uid="{BD6BFE89-3162-47B2-8014-DF7AF953BBC0}"/>
    <cellStyle name="Percent [2] 3 31" xfId="3986" xr:uid="{8BE7B29B-C0A9-4C62-A6EA-22745A231620}"/>
    <cellStyle name="Percent [2] 3 4" xfId="1891" xr:uid="{00000000-0005-0000-0000-00006B070000}"/>
    <cellStyle name="Percent [2] 3 4 2" xfId="6083" xr:uid="{8A5A4352-B4E7-4D5F-A822-034681809C9B}"/>
    <cellStyle name="Percent [2] 3 4 3" xfId="4009" xr:uid="{1C8A5D19-9234-4941-BDA6-D1BF69DE392C}"/>
    <cellStyle name="Percent [2] 3 5" xfId="1892" xr:uid="{00000000-0005-0000-0000-00006C070000}"/>
    <cellStyle name="Percent [2] 3 5 2" xfId="6084" xr:uid="{AB84A9A4-D879-41E9-8844-C1167FF03B71}"/>
    <cellStyle name="Percent [2] 3 5 3" xfId="4010" xr:uid="{C6B770A1-A512-4193-B236-36ED5E05CF8D}"/>
    <cellStyle name="Percent [2] 3 6" xfId="1893" xr:uid="{00000000-0005-0000-0000-00006D070000}"/>
    <cellStyle name="Percent [2] 3 6 2" xfId="6085" xr:uid="{08934F6D-A52B-49C1-BF02-C2F01F695D96}"/>
    <cellStyle name="Percent [2] 3 6 3" xfId="4011" xr:uid="{79C1B3EB-89E2-4171-B9C0-C5B92DC386FD}"/>
    <cellStyle name="Percent [2] 3 7" xfId="1894" xr:uid="{00000000-0005-0000-0000-00006E070000}"/>
    <cellStyle name="Percent [2] 3 7 2" xfId="6086" xr:uid="{45124AE4-C0D4-4D42-BB6D-9BBB9DCFA049}"/>
    <cellStyle name="Percent [2] 3 7 3" xfId="4012" xr:uid="{87AC7D58-B61B-4DDA-A115-E399416BD572}"/>
    <cellStyle name="Percent [2] 3 8" xfId="1895" xr:uid="{00000000-0005-0000-0000-00006F070000}"/>
    <cellStyle name="Percent [2] 3 8 2" xfId="6087" xr:uid="{91C6DB93-8C94-456D-BF55-3E68377E0469}"/>
    <cellStyle name="Percent [2] 3 8 3" xfId="4013" xr:uid="{FBEE60D7-9424-4128-B41B-86FD4419222C}"/>
    <cellStyle name="Percent [2] 3 9" xfId="1896" xr:uid="{00000000-0005-0000-0000-000070070000}"/>
    <cellStyle name="Percent [2] 3 9 2" xfId="6088" xr:uid="{7954490F-8220-4498-A4F5-559E9DB95E1E}"/>
    <cellStyle name="Percent [2] 3 9 3" xfId="4014" xr:uid="{DCEA945B-AD84-4F52-A06C-6CD28713F298}"/>
    <cellStyle name="Percent [2] 4" xfId="1897" xr:uid="{00000000-0005-0000-0000-000071070000}"/>
    <cellStyle name="Percent [2] 4 10" xfId="1898" xr:uid="{00000000-0005-0000-0000-000072070000}"/>
    <cellStyle name="Percent [2] 4 10 2" xfId="6090" xr:uid="{B8C40524-19DE-4DA5-853A-61EEACE017B3}"/>
    <cellStyle name="Percent [2] 4 10 3" xfId="4016" xr:uid="{748EAA55-0552-4714-8755-075CF4770205}"/>
    <cellStyle name="Percent [2] 4 11" xfId="1899" xr:uid="{00000000-0005-0000-0000-000073070000}"/>
    <cellStyle name="Percent [2] 4 11 2" xfId="6091" xr:uid="{54BF0006-F11A-4F53-82A7-E06BF6D4E46E}"/>
    <cellStyle name="Percent [2] 4 11 3" xfId="4017" xr:uid="{7ED2D9F5-945A-4F82-88C4-FB0A5B609469}"/>
    <cellStyle name="Percent [2] 4 12" xfId="1900" xr:uid="{00000000-0005-0000-0000-000074070000}"/>
    <cellStyle name="Percent [2] 4 12 2" xfId="6092" xr:uid="{593F8BE5-11D0-46A9-A1F0-7BFEA762021A}"/>
    <cellStyle name="Percent [2] 4 12 3" xfId="4018" xr:uid="{543881EB-7C9D-4BFB-AFF2-C9507E206108}"/>
    <cellStyle name="Percent [2] 4 13" xfId="1901" xr:uid="{00000000-0005-0000-0000-000075070000}"/>
    <cellStyle name="Percent [2] 4 13 2" xfId="6093" xr:uid="{E4D6EDC0-7131-4F57-8438-00BE125F9F14}"/>
    <cellStyle name="Percent [2] 4 13 3" xfId="4019" xr:uid="{6A08A57E-7E8B-4B93-BF35-6FA06DFE3B63}"/>
    <cellStyle name="Percent [2] 4 14" xfId="1902" xr:uid="{00000000-0005-0000-0000-000076070000}"/>
    <cellStyle name="Percent [2] 4 14 2" xfId="6094" xr:uid="{AE330ECF-02DD-4544-9273-A2294F27284C}"/>
    <cellStyle name="Percent [2] 4 14 3" xfId="4020" xr:uid="{3748E93A-DAAD-4790-A143-DFFAD0139524}"/>
    <cellStyle name="Percent [2] 4 15" xfId="1903" xr:uid="{00000000-0005-0000-0000-000077070000}"/>
    <cellStyle name="Percent [2] 4 15 2" xfId="6095" xr:uid="{07601ED2-93B7-4013-BDF4-4C83742B5CDE}"/>
    <cellStyle name="Percent [2] 4 15 3" xfId="4021" xr:uid="{428CAAFF-EFCB-4737-AFA8-A2EB467B0064}"/>
    <cellStyle name="Percent [2] 4 16" xfId="1904" xr:uid="{00000000-0005-0000-0000-000078070000}"/>
    <cellStyle name="Percent [2] 4 16 2" xfId="6096" xr:uid="{29B8754F-DC05-417E-88DC-4A6020DD1473}"/>
    <cellStyle name="Percent [2] 4 16 3" xfId="4022" xr:uid="{36AC3DDD-8997-42E9-B1B8-6C163601F8BC}"/>
    <cellStyle name="Percent [2] 4 17" xfId="1905" xr:uid="{00000000-0005-0000-0000-000079070000}"/>
    <cellStyle name="Percent [2] 4 17 2" xfId="6097" xr:uid="{598CD469-4A1D-4EF7-B284-A4F34D9E4F9B}"/>
    <cellStyle name="Percent [2] 4 17 3" xfId="4023" xr:uid="{15E6193A-4BA8-4E16-9B66-79A88E8CB167}"/>
    <cellStyle name="Percent [2] 4 18" xfId="1906" xr:uid="{00000000-0005-0000-0000-00007A070000}"/>
    <cellStyle name="Percent [2] 4 18 2" xfId="6098" xr:uid="{B6BF3710-4169-48B3-85B2-5B9E06D510FD}"/>
    <cellStyle name="Percent [2] 4 18 3" xfId="4024" xr:uid="{E5EE5FAC-DE9E-4662-9935-C03D243FB5C2}"/>
    <cellStyle name="Percent [2] 4 19" xfId="1907" xr:uid="{00000000-0005-0000-0000-00007B070000}"/>
    <cellStyle name="Percent [2] 4 19 2" xfId="6099" xr:uid="{97DB25AD-FF38-461A-89A9-CEE7C35E37CC}"/>
    <cellStyle name="Percent [2] 4 19 3" xfId="4025" xr:uid="{01EB3357-5A7B-4F13-9599-E664A8D3608D}"/>
    <cellStyle name="Percent [2] 4 2" xfId="1908" xr:uid="{00000000-0005-0000-0000-00007C070000}"/>
    <cellStyle name="Percent [2] 4 2 2" xfId="6100" xr:uid="{D8F73DA2-7D32-4348-8369-3DF91606AB40}"/>
    <cellStyle name="Percent [2] 4 2 3" xfId="4026" xr:uid="{306AE612-1B5F-47FA-AE53-D64A81E70B10}"/>
    <cellStyle name="Percent [2] 4 20" xfId="1909" xr:uid="{00000000-0005-0000-0000-00007D070000}"/>
    <cellStyle name="Percent [2] 4 20 2" xfId="6101" xr:uid="{54EB4531-F2F5-4E44-8582-1A36B9E9DF40}"/>
    <cellStyle name="Percent [2] 4 20 3" xfId="4027" xr:uid="{C296AC70-F6B2-4DC5-B108-C58EBA44FD95}"/>
    <cellStyle name="Percent [2] 4 21" xfId="1910" xr:uid="{00000000-0005-0000-0000-00007E070000}"/>
    <cellStyle name="Percent [2] 4 21 2" xfId="6102" xr:uid="{AFF3B0E7-D762-40C5-95A7-17CB57E1D49B}"/>
    <cellStyle name="Percent [2] 4 21 3" xfId="4028" xr:uid="{1CB11520-8C92-4716-80C8-B74FBF6F2ADD}"/>
    <cellStyle name="Percent [2] 4 22" xfId="1911" xr:uid="{00000000-0005-0000-0000-00007F070000}"/>
    <cellStyle name="Percent [2] 4 22 2" xfId="6103" xr:uid="{684FB9A1-7355-4B3D-925F-4931B4C62461}"/>
    <cellStyle name="Percent [2] 4 22 3" xfId="4029" xr:uid="{9EE68191-408E-4D38-B1BA-2D99E1577863}"/>
    <cellStyle name="Percent [2] 4 23" xfId="1912" xr:uid="{00000000-0005-0000-0000-000080070000}"/>
    <cellStyle name="Percent [2] 4 23 2" xfId="6104" xr:uid="{8F025E2A-B305-4616-B0FE-D5141D980122}"/>
    <cellStyle name="Percent [2] 4 23 3" xfId="4030" xr:uid="{3DAC8947-9A51-4BAE-80A6-651371E9E8BD}"/>
    <cellStyle name="Percent [2] 4 24" xfId="1913" xr:uid="{00000000-0005-0000-0000-000081070000}"/>
    <cellStyle name="Percent [2] 4 24 2" xfId="6105" xr:uid="{5B61C339-327C-45CA-B30A-DD52CFD3E8EE}"/>
    <cellStyle name="Percent [2] 4 24 3" xfId="4031" xr:uid="{C7DC727E-9F2E-4FA5-B2E9-014DB63DF253}"/>
    <cellStyle name="Percent [2] 4 25" xfId="1914" xr:uid="{00000000-0005-0000-0000-000082070000}"/>
    <cellStyle name="Percent [2] 4 25 2" xfId="6106" xr:uid="{B3D1E3D3-626E-4424-99EC-4674E9CA3561}"/>
    <cellStyle name="Percent [2] 4 25 3" xfId="4032" xr:uid="{1E711FB2-FA81-4541-B36B-817C346C8CC9}"/>
    <cellStyle name="Percent [2] 4 26" xfId="1915" xr:uid="{00000000-0005-0000-0000-000083070000}"/>
    <cellStyle name="Percent [2] 4 26 2" xfId="6107" xr:uid="{B36BE78B-DEFE-486E-917A-F4CDCF4C2B73}"/>
    <cellStyle name="Percent [2] 4 26 3" xfId="4033" xr:uid="{5BC57C6A-5637-4B4E-9AB9-53E20F4CCDBB}"/>
    <cellStyle name="Percent [2] 4 27" xfId="1916" xr:uid="{00000000-0005-0000-0000-000084070000}"/>
    <cellStyle name="Percent [2] 4 27 2" xfId="6108" xr:uid="{DE5134B0-7FE9-4CD0-BA4A-46F8F5148997}"/>
    <cellStyle name="Percent [2] 4 27 3" xfId="4034" xr:uid="{B190E3A3-A67E-4CE9-B662-22B472611363}"/>
    <cellStyle name="Percent [2] 4 28" xfId="1917" xr:uid="{00000000-0005-0000-0000-000085070000}"/>
    <cellStyle name="Percent [2] 4 28 2" xfId="6109" xr:uid="{CEF3582A-7D43-49AA-9727-9D4E5A4A294F}"/>
    <cellStyle name="Percent [2] 4 28 3" xfId="4035" xr:uid="{E480C961-4431-4913-A2DD-EAAD70DD5ED0}"/>
    <cellStyle name="Percent [2] 4 29" xfId="1918" xr:uid="{00000000-0005-0000-0000-000086070000}"/>
    <cellStyle name="Percent [2] 4 29 2" xfId="6110" xr:uid="{C3ABAEA3-39A2-4C37-B3FA-D6A0A65B11CB}"/>
    <cellStyle name="Percent [2] 4 29 3" xfId="4036" xr:uid="{17F97722-C2F1-48A7-9148-4E3F63151F98}"/>
    <cellStyle name="Percent [2] 4 3" xfId="1919" xr:uid="{00000000-0005-0000-0000-000087070000}"/>
    <cellStyle name="Percent [2] 4 3 2" xfId="6111" xr:uid="{02CC9436-7BD6-4A58-83A4-7B8C1BB82A54}"/>
    <cellStyle name="Percent [2] 4 3 3" xfId="4037" xr:uid="{084B8309-F5B9-4A71-839B-34501E06C4DB}"/>
    <cellStyle name="Percent [2] 4 30" xfId="6089" xr:uid="{44C40F48-6CD6-4F94-A0F2-FA18FDE7850C}"/>
    <cellStyle name="Percent [2] 4 31" xfId="4015" xr:uid="{BB07D318-7E15-4E4D-9CC6-637277128FA2}"/>
    <cellStyle name="Percent [2] 4 4" xfId="1920" xr:uid="{00000000-0005-0000-0000-000088070000}"/>
    <cellStyle name="Percent [2] 4 4 2" xfId="6112" xr:uid="{161717CB-BC6D-42CD-9056-AB988C0A39AF}"/>
    <cellStyle name="Percent [2] 4 4 3" xfId="4038" xr:uid="{41D71E19-9D55-4248-9077-751D70BB7C46}"/>
    <cellStyle name="Percent [2] 4 5" xfId="1921" xr:uid="{00000000-0005-0000-0000-000089070000}"/>
    <cellStyle name="Percent [2] 4 5 2" xfId="6113" xr:uid="{9A1A8334-9EA1-4184-8FDE-1F096E2942D6}"/>
    <cellStyle name="Percent [2] 4 5 3" xfId="4039" xr:uid="{A7CE4A13-76A2-4737-A6E9-361E04A1EDA7}"/>
    <cellStyle name="Percent [2] 4 6" xfId="1922" xr:uid="{00000000-0005-0000-0000-00008A070000}"/>
    <cellStyle name="Percent [2] 4 6 2" xfId="6114" xr:uid="{0E943D69-19B3-4E7D-B0BF-F2ACA6686300}"/>
    <cellStyle name="Percent [2] 4 6 3" xfId="4040" xr:uid="{2389507A-7422-42EE-B950-8D88522D493A}"/>
    <cellStyle name="Percent [2] 4 7" xfId="1923" xr:uid="{00000000-0005-0000-0000-00008B070000}"/>
    <cellStyle name="Percent [2] 4 7 2" xfId="6115" xr:uid="{1E20DB9E-3A40-47B7-896F-D939A4EEA44F}"/>
    <cellStyle name="Percent [2] 4 7 3" xfId="4041" xr:uid="{2E69AB01-3667-4F06-99F8-05EC87A8E543}"/>
    <cellStyle name="Percent [2] 4 8" xfId="1924" xr:uid="{00000000-0005-0000-0000-00008C070000}"/>
    <cellStyle name="Percent [2] 4 8 2" xfId="6116" xr:uid="{4F11F7E0-EEAA-47E7-8209-FB17293E9D2B}"/>
    <cellStyle name="Percent [2] 4 8 3" xfId="4042" xr:uid="{A317A523-0D47-4080-B493-3E9CF07C7B58}"/>
    <cellStyle name="Percent [2] 4 9" xfId="1925" xr:uid="{00000000-0005-0000-0000-00008D070000}"/>
    <cellStyle name="Percent [2] 4 9 2" xfId="6117" xr:uid="{E170DC64-0FFB-42CE-BFCE-619F441A7467}"/>
    <cellStyle name="Percent [2] 4 9 3" xfId="4043" xr:uid="{5D169982-DA05-4CC5-B695-AC84D044A0C1}"/>
    <cellStyle name="Percent [2] 5" xfId="1926" xr:uid="{00000000-0005-0000-0000-00008E070000}"/>
    <cellStyle name="Percent [2] 5 10" xfId="1927" xr:uid="{00000000-0005-0000-0000-00008F070000}"/>
    <cellStyle name="Percent [2] 5 10 2" xfId="6119" xr:uid="{CEFE1F95-8DD2-454C-AAFB-D41E88E13395}"/>
    <cellStyle name="Percent [2] 5 10 3" xfId="4045" xr:uid="{27E73248-B841-42D7-9797-AA8EDA165B1C}"/>
    <cellStyle name="Percent [2] 5 11" xfId="1928" xr:uid="{00000000-0005-0000-0000-000090070000}"/>
    <cellStyle name="Percent [2] 5 11 2" xfId="6120" xr:uid="{706C35D5-F01A-4290-AFB7-8D407D3AE19D}"/>
    <cellStyle name="Percent [2] 5 11 3" xfId="4046" xr:uid="{73B59EA6-EF0D-4A79-B594-0B2208B79517}"/>
    <cellStyle name="Percent [2] 5 12" xfId="1929" xr:uid="{00000000-0005-0000-0000-000091070000}"/>
    <cellStyle name="Percent [2] 5 12 2" xfId="6121" xr:uid="{62BE8BA4-C83E-4131-8F6D-AA250E40D3F3}"/>
    <cellStyle name="Percent [2] 5 12 3" xfId="4047" xr:uid="{A91A9700-98DC-466F-801E-0DF8A4F3D43E}"/>
    <cellStyle name="Percent [2] 5 13" xfId="1930" xr:uid="{00000000-0005-0000-0000-000092070000}"/>
    <cellStyle name="Percent [2] 5 13 2" xfId="6122" xr:uid="{10A9D9E1-D5B0-4ED7-9ECF-AB7E6A80D83A}"/>
    <cellStyle name="Percent [2] 5 13 3" xfId="4048" xr:uid="{68C97728-CA49-4A9E-A7A3-20A774C919D2}"/>
    <cellStyle name="Percent [2] 5 14" xfId="1931" xr:uid="{00000000-0005-0000-0000-000093070000}"/>
    <cellStyle name="Percent [2] 5 14 2" xfId="6123" xr:uid="{293D95D0-B5C5-479C-8B41-EF895204976B}"/>
    <cellStyle name="Percent [2] 5 14 3" xfId="4049" xr:uid="{8B13BFA0-6BAE-4759-A42D-AFD18B662119}"/>
    <cellStyle name="Percent [2] 5 15" xfId="1932" xr:uid="{00000000-0005-0000-0000-000094070000}"/>
    <cellStyle name="Percent [2] 5 15 2" xfId="6124" xr:uid="{196301B4-B9DC-4D24-85AE-373B1478EA31}"/>
    <cellStyle name="Percent [2] 5 15 3" xfId="4050" xr:uid="{63DC839A-377B-420C-888D-8D81CC7BBA9D}"/>
    <cellStyle name="Percent [2] 5 16" xfId="1933" xr:uid="{00000000-0005-0000-0000-000095070000}"/>
    <cellStyle name="Percent [2] 5 16 2" xfId="6125" xr:uid="{30985BD1-B730-41EE-9E79-BDED897FA97C}"/>
    <cellStyle name="Percent [2] 5 16 3" xfId="4051" xr:uid="{71B3937D-F76F-439F-87AB-BEB4C280DF53}"/>
    <cellStyle name="Percent [2] 5 17" xfId="1934" xr:uid="{00000000-0005-0000-0000-000096070000}"/>
    <cellStyle name="Percent [2] 5 17 2" xfId="6126" xr:uid="{A6C4672B-A3A7-43D3-8B0D-465F05FD1529}"/>
    <cellStyle name="Percent [2] 5 17 3" xfId="4052" xr:uid="{D706576F-5B6A-4485-909A-F7FA30F25EC8}"/>
    <cellStyle name="Percent [2] 5 18" xfId="1935" xr:uid="{00000000-0005-0000-0000-000097070000}"/>
    <cellStyle name="Percent [2] 5 18 2" xfId="6127" xr:uid="{8EC03E6C-BBE4-457D-BA94-B9CD88782131}"/>
    <cellStyle name="Percent [2] 5 18 3" xfId="4053" xr:uid="{0DF18956-68FD-40C5-83C2-69ED60E6ACE8}"/>
    <cellStyle name="Percent [2] 5 19" xfId="1936" xr:uid="{00000000-0005-0000-0000-000098070000}"/>
    <cellStyle name="Percent [2] 5 19 2" xfId="6128" xr:uid="{48E670B6-D465-4530-AB9E-EB891BCF3000}"/>
    <cellStyle name="Percent [2] 5 19 3" xfId="4054" xr:uid="{262F1C82-F898-4F9D-B602-C2AC2C6A736B}"/>
    <cellStyle name="Percent [2] 5 2" xfId="1937" xr:uid="{00000000-0005-0000-0000-000099070000}"/>
    <cellStyle name="Percent [2] 5 2 2" xfId="6129" xr:uid="{8E99B5BD-FB1B-4474-BD6B-942A1AA86562}"/>
    <cellStyle name="Percent [2] 5 2 3" xfId="4055" xr:uid="{F9E2EC94-C211-48FD-83A9-1821D0C0DD5C}"/>
    <cellStyle name="Percent [2] 5 20" xfId="1938" xr:uid="{00000000-0005-0000-0000-00009A070000}"/>
    <cellStyle name="Percent [2] 5 20 2" xfId="6130" xr:uid="{F7C945B7-0B1F-4E03-8608-7D71A741A35A}"/>
    <cellStyle name="Percent [2] 5 20 3" xfId="4056" xr:uid="{30DABC49-0CE6-4165-9916-199ADADCAD26}"/>
    <cellStyle name="Percent [2] 5 21" xfId="1939" xr:uid="{00000000-0005-0000-0000-00009B070000}"/>
    <cellStyle name="Percent [2] 5 21 2" xfId="6131" xr:uid="{4F8A864E-97D1-4439-993E-F16103010B36}"/>
    <cellStyle name="Percent [2] 5 21 3" xfId="4057" xr:uid="{C4AAB5B1-74C1-4388-A809-6618DE8C9D82}"/>
    <cellStyle name="Percent [2] 5 22" xfId="1940" xr:uid="{00000000-0005-0000-0000-00009C070000}"/>
    <cellStyle name="Percent [2] 5 22 2" xfId="6132" xr:uid="{A2A29E04-C6FA-4D15-83B3-0CC13994ED33}"/>
    <cellStyle name="Percent [2] 5 22 3" xfId="4058" xr:uid="{B46B8E19-0B9E-4B6E-93A5-BCC2E2CA5AE8}"/>
    <cellStyle name="Percent [2] 5 23" xfId="1941" xr:uid="{00000000-0005-0000-0000-00009D070000}"/>
    <cellStyle name="Percent [2] 5 23 2" xfId="6133" xr:uid="{23ED746B-BBC6-46EA-A0CC-1EDC34C03A4F}"/>
    <cellStyle name="Percent [2] 5 23 3" xfId="4059" xr:uid="{9B6077D4-801E-429F-B265-E0D031B2271E}"/>
    <cellStyle name="Percent [2] 5 24" xfId="1942" xr:uid="{00000000-0005-0000-0000-00009E070000}"/>
    <cellStyle name="Percent [2] 5 24 2" xfId="6134" xr:uid="{6E46090F-A904-4A55-BEC2-3D04EB1F7325}"/>
    <cellStyle name="Percent [2] 5 24 3" xfId="4060" xr:uid="{98EBB6DC-450C-40C5-8C32-DC0344D519A9}"/>
    <cellStyle name="Percent [2] 5 25" xfId="1943" xr:uid="{00000000-0005-0000-0000-00009F070000}"/>
    <cellStyle name="Percent [2] 5 25 2" xfId="6135" xr:uid="{16334A46-D86A-4FDB-81D9-A47DD5027850}"/>
    <cellStyle name="Percent [2] 5 25 3" xfId="4061" xr:uid="{5341E9DE-FFDB-470B-9986-9B4252197CDF}"/>
    <cellStyle name="Percent [2] 5 26" xfId="1944" xr:uid="{00000000-0005-0000-0000-0000A0070000}"/>
    <cellStyle name="Percent [2] 5 26 2" xfId="6136" xr:uid="{DF177A37-11A4-456A-9B31-6E392EF3029B}"/>
    <cellStyle name="Percent [2] 5 26 3" xfId="4062" xr:uid="{B8672E5D-4E83-4655-9BAD-A89D778FE091}"/>
    <cellStyle name="Percent [2] 5 27" xfId="1945" xr:uid="{00000000-0005-0000-0000-0000A1070000}"/>
    <cellStyle name="Percent [2] 5 27 2" xfId="6137" xr:uid="{B61BB607-213B-4A44-867C-57EDE1006A8B}"/>
    <cellStyle name="Percent [2] 5 27 3" xfId="4063" xr:uid="{5573E673-0CE5-4CBA-8DD4-CE57D28E4E72}"/>
    <cellStyle name="Percent [2] 5 28" xfId="1946" xr:uid="{00000000-0005-0000-0000-0000A2070000}"/>
    <cellStyle name="Percent [2] 5 28 2" xfId="6138" xr:uid="{7CA10C01-8730-4DF5-8BDA-1424A8C42A3A}"/>
    <cellStyle name="Percent [2] 5 28 3" xfId="4064" xr:uid="{C1A50034-4713-4637-914E-B34FBBBE3CA5}"/>
    <cellStyle name="Percent [2] 5 29" xfId="1947" xr:uid="{00000000-0005-0000-0000-0000A3070000}"/>
    <cellStyle name="Percent [2] 5 29 2" xfId="6139" xr:uid="{7D63C0D4-F81E-4816-89F0-324AE19F4F33}"/>
    <cellStyle name="Percent [2] 5 29 3" xfId="4065" xr:uid="{83B43E9B-AF4F-4C19-9698-BABF0BBE2FBC}"/>
    <cellStyle name="Percent [2] 5 3" xfId="1948" xr:uid="{00000000-0005-0000-0000-0000A4070000}"/>
    <cellStyle name="Percent [2] 5 3 2" xfId="6140" xr:uid="{35DFBED1-46AF-4B03-8247-B92457C9F21E}"/>
    <cellStyle name="Percent [2] 5 3 3" xfId="4066" xr:uid="{51C4249D-800C-48D3-BE27-B57B10E38A48}"/>
    <cellStyle name="Percent [2] 5 30" xfId="6118" xr:uid="{D83C808E-9352-4301-8791-B46EB287817E}"/>
    <cellStyle name="Percent [2] 5 31" xfId="4044" xr:uid="{E5DE4647-A7B0-4BA5-ACDD-F5329CD4E5C9}"/>
    <cellStyle name="Percent [2] 5 4" xfId="1949" xr:uid="{00000000-0005-0000-0000-0000A5070000}"/>
    <cellStyle name="Percent [2] 5 4 2" xfId="6141" xr:uid="{499B5E5D-ABF2-4D4F-AC91-94BCB7224C1A}"/>
    <cellStyle name="Percent [2] 5 4 3" xfId="4067" xr:uid="{79B4D2F6-6264-439B-B247-483B36EE6DAE}"/>
    <cellStyle name="Percent [2] 5 5" xfId="1950" xr:uid="{00000000-0005-0000-0000-0000A6070000}"/>
    <cellStyle name="Percent [2] 5 5 2" xfId="6142" xr:uid="{629700BD-85C6-4CAD-B931-36F695B61B6F}"/>
    <cellStyle name="Percent [2] 5 5 3" xfId="4068" xr:uid="{9A57ADAE-7BBD-4E69-95F0-3130EDF8D17A}"/>
    <cellStyle name="Percent [2] 5 6" xfId="1951" xr:uid="{00000000-0005-0000-0000-0000A7070000}"/>
    <cellStyle name="Percent [2] 5 6 2" xfId="6143" xr:uid="{70A777CC-1F30-4E4C-8F29-885E605C3CD5}"/>
    <cellStyle name="Percent [2] 5 6 3" xfId="4069" xr:uid="{8DEAD88C-4D14-47BE-A371-D1FF3AA1099C}"/>
    <cellStyle name="Percent [2] 5 7" xfId="1952" xr:uid="{00000000-0005-0000-0000-0000A8070000}"/>
    <cellStyle name="Percent [2] 5 7 2" xfId="6144" xr:uid="{520E39DE-E5B5-4A0A-B707-78A395AE24E9}"/>
    <cellStyle name="Percent [2] 5 7 3" xfId="4070" xr:uid="{CFA169F0-5797-48E8-B60A-89BB19D6D38B}"/>
    <cellStyle name="Percent [2] 5 8" xfId="1953" xr:uid="{00000000-0005-0000-0000-0000A9070000}"/>
    <cellStyle name="Percent [2] 5 8 2" xfId="6145" xr:uid="{3C3807EA-174A-4487-B8F5-D7F55B7FC9A0}"/>
    <cellStyle name="Percent [2] 5 8 3" xfId="4071" xr:uid="{79371D6A-6278-4C26-A598-E21ECF21B703}"/>
    <cellStyle name="Percent [2] 5 9" xfId="1954" xr:uid="{00000000-0005-0000-0000-0000AA070000}"/>
    <cellStyle name="Percent [2] 5 9 2" xfId="6146" xr:uid="{30A0056F-4288-4290-8133-5EF62577E6BD}"/>
    <cellStyle name="Percent [2] 5 9 3" xfId="4072" xr:uid="{50A69BDB-0FDA-4F5D-9407-84A423C68F60}"/>
    <cellStyle name="Percent [2] 6" xfId="1955" xr:uid="{00000000-0005-0000-0000-0000AB070000}"/>
    <cellStyle name="Percent [2] 6 10" xfId="1956" xr:uid="{00000000-0005-0000-0000-0000AC070000}"/>
    <cellStyle name="Percent [2] 6 10 2" xfId="6148" xr:uid="{4F499A84-0DE6-46E6-95BF-88EDD9C58076}"/>
    <cellStyle name="Percent [2] 6 10 3" xfId="4074" xr:uid="{66594930-46BB-4113-9DB4-E8D32275FEE6}"/>
    <cellStyle name="Percent [2] 6 11" xfId="1957" xr:uid="{00000000-0005-0000-0000-0000AD070000}"/>
    <cellStyle name="Percent [2] 6 11 2" xfId="6149" xr:uid="{171291B1-FFB1-45DF-A5A9-A2555DCEBB57}"/>
    <cellStyle name="Percent [2] 6 11 3" xfId="4075" xr:uid="{E32D34D8-B97B-4150-9CA7-A3BFA7726B2B}"/>
    <cellStyle name="Percent [2] 6 12" xfId="1958" xr:uid="{00000000-0005-0000-0000-0000AE070000}"/>
    <cellStyle name="Percent [2] 6 12 2" xfId="6150" xr:uid="{05FA34E7-E3E3-4989-80AE-74D02AEEFCF3}"/>
    <cellStyle name="Percent [2] 6 12 3" xfId="4076" xr:uid="{AD2946D6-A1D2-484A-AB42-A5B95CFE0232}"/>
    <cellStyle name="Percent [2] 6 13" xfId="1959" xr:uid="{00000000-0005-0000-0000-0000AF070000}"/>
    <cellStyle name="Percent [2] 6 13 2" xfId="6151" xr:uid="{4F3C1A7D-A215-46BB-A20A-B7AC35724FC8}"/>
    <cellStyle name="Percent [2] 6 13 3" xfId="4077" xr:uid="{D632E835-EBE3-4771-A2F5-0693E0B708BA}"/>
    <cellStyle name="Percent [2] 6 14" xfId="1960" xr:uid="{00000000-0005-0000-0000-0000B0070000}"/>
    <cellStyle name="Percent [2] 6 14 2" xfId="6152" xr:uid="{8B28E4A7-FEC4-4CBC-A4F4-8F1AD7546544}"/>
    <cellStyle name="Percent [2] 6 14 3" xfId="4078" xr:uid="{81ED93AC-98F9-4567-A6AE-74C6F9D888AA}"/>
    <cellStyle name="Percent [2] 6 15" xfId="1961" xr:uid="{00000000-0005-0000-0000-0000B1070000}"/>
    <cellStyle name="Percent [2] 6 15 2" xfId="6153" xr:uid="{B9031586-2449-487D-B72C-F6130376BD5C}"/>
    <cellStyle name="Percent [2] 6 15 3" xfId="4079" xr:uid="{22E34AD2-6812-472C-94E0-9B0A333D3BCD}"/>
    <cellStyle name="Percent [2] 6 16" xfId="1962" xr:uid="{00000000-0005-0000-0000-0000B2070000}"/>
    <cellStyle name="Percent [2] 6 16 2" xfId="6154" xr:uid="{B847541D-0838-4170-8F1A-046ED7F79248}"/>
    <cellStyle name="Percent [2] 6 16 3" xfId="4080" xr:uid="{8E844AA6-5097-4D87-9001-42860A53BC87}"/>
    <cellStyle name="Percent [2] 6 17" xfId="1963" xr:uid="{00000000-0005-0000-0000-0000B3070000}"/>
    <cellStyle name="Percent [2] 6 17 2" xfId="6155" xr:uid="{475F570A-2437-4599-A671-5CB0D6BB3901}"/>
    <cellStyle name="Percent [2] 6 17 3" xfId="4081" xr:uid="{B7E91CBD-DF5A-4F25-8A71-CB3031FED8F7}"/>
    <cellStyle name="Percent [2] 6 18" xfId="1964" xr:uid="{00000000-0005-0000-0000-0000B4070000}"/>
    <cellStyle name="Percent [2] 6 18 2" xfId="6156" xr:uid="{1A2B81AB-AF0A-42CC-A85D-027716224087}"/>
    <cellStyle name="Percent [2] 6 18 3" xfId="4082" xr:uid="{5D965174-38F4-4A0B-A6B5-5FBD1641A6EC}"/>
    <cellStyle name="Percent [2] 6 19" xfId="1965" xr:uid="{00000000-0005-0000-0000-0000B5070000}"/>
    <cellStyle name="Percent [2] 6 19 2" xfId="6157" xr:uid="{AAF42008-23D1-4012-90F5-305D9240DC93}"/>
    <cellStyle name="Percent [2] 6 19 3" xfId="4083" xr:uid="{97D9F5A7-038F-46EB-9CF4-838AEC84B974}"/>
    <cellStyle name="Percent [2] 6 2" xfId="1966" xr:uid="{00000000-0005-0000-0000-0000B6070000}"/>
    <cellStyle name="Percent [2] 6 2 2" xfId="6158" xr:uid="{C33C5E3A-6EE9-46A4-9D0A-11EA4179EA19}"/>
    <cellStyle name="Percent [2] 6 2 3" xfId="4084" xr:uid="{9F100AE3-4EA8-4862-8D60-093BA1DFBBA3}"/>
    <cellStyle name="Percent [2] 6 20" xfId="1967" xr:uid="{00000000-0005-0000-0000-0000B7070000}"/>
    <cellStyle name="Percent [2] 6 20 2" xfId="6159" xr:uid="{1624247C-5488-47B7-978B-AB76C4A66CC9}"/>
    <cellStyle name="Percent [2] 6 20 3" xfId="4085" xr:uid="{05A445EA-3D42-45C4-B005-34B8D8B8F9A3}"/>
    <cellStyle name="Percent [2] 6 21" xfId="1968" xr:uid="{00000000-0005-0000-0000-0000B8070000}"/>
    <cellStyle name="Percent [2] 6 21 2" xfId="6160" xr:uid="{11324290-E13A-4FCB-814E-4B4B260C2BB7}"/>
    <cellStyle name="Percent [2] 6 21 3" xfId="4086" xr:uid="{41BDF9C6-185F-4B60-AB8A-93B0289BD47C}"/>
    <cellStyle name="Percent [2] 6 22" xfId="1969" xr:uid="{00000000-0005-0000-0000-0000B9070000}"/>
    <cellStyle name="Percent [2] 6 22 2" xfId="6161" xr:uid="{6EF1EF88-55F6-488F-85F9-EF621A313C1E}"/>
    <cellStyle name="Percent [2] 6 22 3" xfId="4087" xr:uid="{27D64E6A-EC7D-4B13-93B8-B5C3ACF80023}"/>
    <cellStyle name="Percent [2] 6 23" xfId="1970" xr:uid="{00000000-0005-0000-0000-0000BA070000}"/>
    <cellStyle name="Percent [2] 6 23 2" xfId="6162" xr:uid="{70978F87-A748-443F-BA8D-15DFC24BA5DD}"/>
    <cellStyle name="Percent [2] 6 23 3" xfId="4088" xr:uid="{B0D26A4D-D3F4-4641-A21B-54BFF131D6F8}"/>
    <cellStyle name="Percent [2] 6 24" xfId="1971" xr:uid="{00000000-0005-0000-0000-0000BB070000}"/>
    <cellStyle name="Percent [2] 6 24 2" xfId="6163" xr:uid="{12E28DCB-954D-40F1-9190-667065292584}"/>
    <cellStyle name="Percent [2] 6 24 3" xfId="4089" xr:uid="{6C1794A2-C808-49D8-9F61-B79EE8F057F9}"/>
    <cellStyle name="Percent [2] 6 25" xfId="1972" xr:uid="{00000000-0005-0000-0000-0000BC070000}"/>
    <cellStyle name="Percent [2] 6 25 2" xfId="6164" xr:uid="{C59711F5-47D6-4243-A68B-42FD9B2974D0}"/>
    <cellStyle name="Percent [2] 6 25 3" xfId="4090" xr:uid="{9FBD71C2-6FD0-4F5D-BF81-26C176222C37}"/>
    <cellStyle name="Percent [2] 6 26" xfId="1973" xr:uid="{00000000-0005-0000-0000-0000BD070000}"/>
    <cellStyle name="Percent [2] 6 26 2" xfId="6165" xr:uid="{668E16B1-E7A3-4D51-9B71-CE95202D7A9C}"/>
    <cellStyle name="Percent [2] 6 26 3" xfId="4091" xr:uid="{CB4E4205-13AA-4F47-88A6-7A3CD2FA4D69}"/>
    <cellStyle name="Percent [2] 6 27" xfId="1974" xr:uid="{00000000-0005-0000-0000-0000BE070000}"/>
    <cellStyle name="Percent [2] 6 27 2" xfId="6166" xr:uid="{8928171F-3ABB-4D89-8347-83E0AB6F4EC8}"/>
    <cellStyle name="Percent [2] 6 27 3" xfId="4092" xr:uid="{00575C74-5B01-4AD7-A9F9-59DEFFFC1196}"/>
    <cellStyle name="Percent [2] 6 28" xfId="1975" xr:uid="{00000000-0005-0000-0000-0000BF070000}"/>
    <cellStyle name="Percent [2] 6 28 2" xfId="6167" xr:uid="{8FD243C6-2B6A-40B2-99F8-36BDF23EDC6D}"/>
    <cellStyle name="Percent [2] 6 28 3" xfId="4093" xr:uid="{C84722FA-02FF-49FE-AEB0-F5AB5F489FAB}"/>
    <cellStyle name="Percent [2] 6 29" xfId="1976" xr:uid="{00000000-0005-0000-0000-0000C0070000}"/>
    <cellStyle name="Percent [2] 6 29 2" xfId="6168" xr:uid="{55E90A6B-1DC5-40EB-AE44-5EA4B5ACA625}"/>
    <cellStyle name="Percent [2] 6 29 3" xfId="4094" xr:uid="{C162043C-5015-48E1-9039-A72144ADFB9D}"/>
    <cellStyle name="Percent [2] 6 3" xfId="1977" xr:uid="{00000000-0005-0000-0000-0000C1070000}"/>
    <cellStyle name="Percent [2] 6 3 2" xfId="6169" xr:uid="{8081D8B8-35EF-4744-A300-1A0745F1E933}"/>
    <cellStyle name="Percent [2] 6 3 3" xfId="4095" xr:uid="{37BB4D48-9768-4F86-A03F-2D0C127063D6}"/>
    <cellStyle name="Percent [2] 6 30" xfId="6147" xr:uid="{4F4ABEA7-F00A-4651-AA1C-8DB5205D6770}"/>
    <cellStyle name="Percent [2] 6 31" xfId="4073" xr:uid="{CB1C55AA-D930-4896-955D-BA75B193F48E}"/>
    <cellStyle name="Percent [2] 6 4" xfId="1978" xr:uid="{00000000-0005-0000-0000-0000C2070000}"/>
    <cellStyle name="Percent [2] 6 4 2" xfId="6170" xr:uid="{875DD780-AF6D-4EC1-BA93-F1A26411538E}"/>
    <cellStyle name="Percent [2] 6 4 3" xfId="4096" xr:uid="{F6542F5A-4D5B-4171-9147-676260F2A84E}"/>
    <cellStyle name="Percent [2] 6 5" xfId="1979" xr:uid="{00000000-0005-0000-0000-0000C3070000}"/>
    <cellStyle name="Percent [2] 6 5 2" xfId="6171" xr:uid="{9EC610AC-D092-4D97-BD9B-160ACA6829DA}"/>
    <cellStyle name="Percent [2] 6 5 3" xfId="4097" xr:uid="{5AD91BAE-3727-4405-86ED-B36F9D3C5210}"/>
    <cellStyle name="Percent [2] 6 6" xfId="1980" xr:uid="{00000000-0005-0000-0000-0000C4070000}"/>
    <cellStyle name="Percent [2] 6 6 2" xfId="6172" xr:uid="{E4A226AE-AB24-4AA5-B795-31ACE768D358}"/>
    <cellStyle name="Percent [2] 6 6 3" xfId="4098" xr:uid="{74D07421-A441-4A97-ACF1-4C57B95987C7}"/>
    <cellStyle name="Percent [2] 6 7" xfId="1981" xr:uid="{00000000-0005-0000-0000-0000C5070000}"/>
    <cellStyle name="Percent [2] 6 7 2" xfId="6173" xr:uid="{CD3BAA8B-DC2C-437F-80C7-4742737E4571}"/>
    <cellStyle name="Percent [2] 6 7 3" xfId="4099" xr:uid="{C2D87CF9-30ED-4528-AF19-ACEF26562228}"/>
    <cellStyle name="Percent [2] 6 8" xfId="1982" xr:uid="{00000000-0005-0000-0000-0000C6070000}"/>
    <cellStyle name="Percent [2] 6 8 2" xfId="6174" xr:uid="{011641C3-6B06-4658-8EA5-13C1505CB9EB}"/>
    <cellStyle name="Percent [2] 6 8 3" xfId="4100" xr:uid="{F5F13661-8FCD-426D-9885-71993972CDA7}"/>
    <cellStyle name="Percent [2] 6 9" xfId="1983" xr:uid="{00000000-0005-0000-0000-0000C7070000}"/>
    <cellStyle name="Percent [2] 6 9 2" xfId="6175" xr:uid="{CD1639CB-B0E3-47EE-B662-5F9DDAD070D0}"/>
    <cellStyle name="Percent [2] 6 9 3" xfId="4101" xr:uid="{4C852F4C-F8AC-4C72-B99D-A6F0B5D93405}"/>
    <cellStyle name="Percent [2] 7" xfId="6030" xr:uid="{05E33071-F2A1-484E-B372-F20F154862A2}"/>
    <cellStyle name="Percent [2] 8" xfId="3956" xr:uid="{7763B885-A058-433F-8FDA-9E7C53B7395C}"/>
    <cellStyle name="Percent 2" xfId="1691" xr:uid="{00000000-0005-0000-0000-0000C8070000}"/>
    <cellStyle name="Percent 2 2" xfId="5883" xr:uid="{827A9D76-E29E-4F4D-9FFC-40D481109C8B}"/>
    <cellStyle name="Percent 2 3" xfId="3809" xr:uid="{205630AB-8AE7-4235-ADFA-8FA5EF7E208A}"/>
    <cellStyle name="Primary" xfId="1984" xr:uid="{00000000-0005-0000-0000-0000C9070000}"/>
    <cellStyle name="Primary %" xfId="1985" xr:uid="{00000000-0005-0000-0000-0000CA070000}"/>
    <cellStyle name="Primary_2006 Enhanced- April" xfId="1986" xr:uid="{00000000-0005-0000-0000-0000CB070000}"/>
    <cellStyle name="PSChar" xfId="1987" xr:uid="{00000000-0005-0000-0000-0000CC070000}"/>
    <cellStyle name="PSDate" xfId="1988" xr:uid="{00000000-0005-0000-0000-0000CD070000}"/>
    <cellStyle name="PSDec" xfId="1989" xr:uid="{00000000-0005-0000-0000-0000CE070000}"/>
    <cellStyle name="PSHeading" xfId="1990" xr:uid="{00000000-0005-0000-0000-0000CF070000}"/>
    <cellStyle name="PSHeading 2" xfId="1991" xr:uid="{00000000-0005-0000-0000-0000D0070000}"/>
    <cellStyle name="PSHeading 2 10" xfId="1992" xr:uid="{00000000-0005-0000-0000-0000D1070000}"/>
    <cellStyle name="PSHeading 2 10 2" xfId="6178" xr:uid="{07B0E998-8318-44F5-BF56-A6D5DE32FAA6}"/>
    <cellStyle name="PSHeading 2 10 3" xfId="4104" xr:uid="{FFF5B3F3-7EF5-4A1D-B499-AB598C48232A}"/>
    <cellStyle name="PSHeading 2 11" xfId="1993" xr:uid="{00000000-0005-0000-0000-0000D2070000}"/>
    <cellStyle name="PSHeading 2 11 2" xfId="6179" xr:uid="{41248136-30D3-43D1-A946-508DED13FBC2}"/>
    <cellStyle name="PSHeading 2 11 3" xfId="4105" xr:uid="{3B7C9B95-7D2C-4E11-B591-4476BC5F0ECA}"/>
    <cellStyle name="PSHeading 2 12" xfId="1994" xr:uid="{00000000-0005-0000-0000-0000D3070000}"/>
    <cellStyle name="PSHeading 2 12 2" xfId="6180" xr:uid="{E1AB8990-5476-4371-B893-7DF4BB03B860}"/>
    <cellStyle name="PSHeading 2 12 3" xfId="4106" xr:uid="{18E9FAB0-5D5F-4F88-99B2-81A05CF09A88}"/>
    <cellStyle name="PSHeading 2 13" xfId="1995" xr:uid="{00000000-0005-0000-0000-0000D4070000}"/>
    <cellStyle name="PSHeading 2 13 2" xfId="6181" xr:uid="{5687DD95-042F-46FD-96B4-B45F8D0A592D}"/>
    <cellStyle name="PSHeading 2 13 3" xfId="4107" xr:uid="{C77503EF-4779-4A33-939F-0E04C4FE8C24}"/>
    <cellStyle name="PSHeading 2 14" xfId="1996" xr:uid="{00000000-0005-0000-0000-0000D5070000}"/>
    <cellStyle name="PSHeading 2 14 2" xfId="6182" xr:uid="{FAC279F7-9346-4D67-B5B8-CE8C9D7896D7}"/>
    <cellStyle name="PSHeading 2 14 3" xfId="4108" xr:uid="{BC1D7FAF-ED2F-4B96-A9D7-7A6B518334D4}"/>
    <cellStyle name="PSHeading 2 15" xfId="1997" xr:uid="{00000000-0005-0000-0000-0000D6070000}"/>
    <cellStyle name="PSHeading 2 15 2" xfId="6183" xr:uid="{51E5F15D-52FC-42B2-8347-78C8348B730C}"/>
    <cellStyle name="PSHeading 2 15 3" xfId="4109" xr:uid="{ED35ECB0-F4D6-4DDE-B05C-E32532A888A8}"/>
    <cellStyle name="PSHeading 2 16" xfId="1998" xr:uid="{00000000-0005-0000-0000-0000D7070000}"/>
    <cellStyle name="PSHeading 2 16 2" xfId="6184" xr:uid="{83B49B49-EB7B-4E02-8CC7-E86A5E38B51F}"/>
    <cellStyle name="PSHeading 2 16 3" xfId="4110" xr:uid="{F46E4B33-221B-4384-A00F-C1B41965CBDD}"/>
    <cellStyle name="PSHeading 2 17" xfId="1999" xr:uid="{00000000-0005-0000-0000-0000D8070000}"/>
    <cellStyle name="PSHeading 2 17 2" xfId="6185" xr:uid="{8E4C0139-352C-4644-B96B-25C01818222F}"/>
    <cellStyle name="PSHeading 2 17 3" xfId="4111" xr:uid="{8BDFEF38-FCAF-4FCB-B1EE-1DF91921A127}"/>
    <cellStyle name="PSHeading 2 18" xfId="2000" xr:uid="{00000000-0005-0000-0000-0000D9070000}"/>
    <cellStyle name="PSHeading 2 18 2" xfId="6186" xr:uid="{01F66A8F-A9F3-48DA-B2B5-252735D502A4}"/>
    <cellStyle name="PSHeading 2 18 3" xfId="4112" xr:uid="{75F056AE-E068-4130-9001-D5BDA7D4DF1B}"/>
    <cellStyle name="PSHeading 2 19" xfId="2001" xr:uid="{00000000-0005-0000-0000-0000DA070000}"/>
    <cellStyle name="PSHeading 2 19 2" xfId="6187" xr:uid="{9D7A721A-3EEE-43EF-A9B1-B28DE58CFD5C}"/>
    <cellStyle name="PSHeading 2 19 3" xfId="4113" xr:uid="{9EE15BCC-8E08-4976-9637-9AA3D0C9325F}"/>
    <cellStyle name="PSHeading 2 2" xfId="2002" xr:uid="{00000000-0005-0000-0000-0000DB070000}"/>
    <cellStyle name="PSHeading 2 2 2" xfId="6188" xr:uid="{10612182-1E70-45DE-A133-57F25D0EADF8}"/>
    <cellStyle name="PSHeading 2 2 3" xfId="4114" xr:uid="{E39194AE-9F1D-4604-8A98-03651CF66411}"/>
    <cellStyle name="PSHeading 2 20" xfId="2003" xr:uid="{00000000-0005-0000-0000-0000DC070000}"/>
    <cellStyle name="PSHeading 2 20 2" xfId="6189" xr:uid="{0EEFAA85-4044-4C5C-9644-2C7CA33D3067}"/>
    <cellStyle name="PSHeading 2 20 3" xfId="4115" xr:uid="{E6F6E022-9321-41C7-85A7-8EAC81E378F3}"/>
    <cellStyle name="PSHeading 2 21" xfId="2004" xr:uid="{00000000-0005-0000-0000-0000DD070000}"/>
    <cellStyle name="PSHeading 2 21 2" xfId="6190" xr:uid="{2C7F9376-02AB-44D6-A2DE-21AEBC72D93E}"/>
    <cellStyle name="PSHeading 2 21 3" xfId="4116" xr:uid="{FEBD7C9F-F750-4AD5-B00A-8547C0ADCA27}"/>
    <cellStyle name="PSHeading 2 22" xfId="2005" xr:uid="{00000000-0005-0000-0000-0000DE070000}"/>
    <cellStyle name="PSHeading 2 22 2" xfId="6191" xr:uid="{42855D82-18F0-452E-8A83-362A82B4DCF4}"/>
    <cellStyle name="PSHeading 2 22 3" xfId="4117" xr:uid="{F72D454A-01E7-409D-AD90-3B46C0A6431D}"/>
    <cellStyle name="PSHeading 2 23" xfId="2006" xr:uid="{00000000-0005-0000-0000-0000DF070000}"/>
    <cellStyle name="PSHeading 2 23 2" xfId="6192" xr:uid="{7CBB5C5D-2DF2-4B41-A15D-51642DEABF5B}"/>
    <cellStyle name="PSHeading 2 23 3" xfId="4118" xr:uid="{975DF19D-960A-4AA8-A67D-ED704C079436}"/>
    <cellStyle name="PSHeading 2 24" xfId="2007" xr:uid="{00000000-0005-0000-0000-0000E0070000}"/>
    <cellStyle name="PSHeading 2 24 2" xfId="6193" xr:uid="{A8893D77-0B1D-4384-8F03-643C6828D62A}"/>
    <cellStyle name="PSHeading 2 24 3" xfId="4119" xr:uid="{FA13E7B3-5784-4F42-85C4-6E736E34ED79}"/>
    <cellStyle name="PSHeading 2 25" xfId="2008" xr:uid="{00000000-0005-0000-0000-0000E1070000}"/>
    <cellStyle name="PSHeading 2 25 2" xfId="6194" xr:uid="{F3381F99-B74A-494C-9869-F9DB62DCD352}"/>
    <cellStyle name="PSHeading 2 25 3" xfId="4120" xr:uid="{36F3D091-3D15-4F6F-A0A0-47A18C28B0FE}"/>
    <cellStyle name="PSHeading 2 26" xfId="2009" xr:uid="{00000000-0005-0000-0000-0000E2070000}"/>
    <cellStyle name="PSHeading 2 26 2" xfId="6195" xr:uid="{5D399CC5-30A9-4266-B1DA-9085992E563A}"/>
    <cellStyle name="PSHeading 2 26 3" xfId="4121" xr:uid="{863355F9-7BDD-41B7-8B2E-CCB5E1E0904B}"/>
    <cellStyle name="PSHeading 2 27" xfId="2010" xr:uid="{00000000-0005-0000-0000-0000E3070000}"/>
    <cellStyle name="PSHeading 2 27 2" xfId="6196" xr:uid="{705FB5F3-4D3B-49F5-8C6A-4591E778C4AB}"/>
    <cellStyle name="PSHeading 2 27 3" xfId="4122" xr:uid="{87A0C436-0F43-475D-BDA8-086BB0D4747A}"/>
    <cellStyle name="PSHeading 2 28" xfId="2011" xr:uid="{00000000-0005-0000-0000-0000E4070000}"/>
    <cellStyle name="PSHeading 2 28 2" xfId="6197" xr:uid="{EF378C2B-A473-4D21-8E31-E159A2286F86}"/>
    <cellStyle name="PSHeading 2 28 3" xfId="4123" xr:uid="{E5DEE5F3-851E-4C10-84F3-1FC60DE83A13}"/>
    <cellStyle name="PSHeading 2 29" xfId="2012" xr:uid="{00000000-0005-0000-0000-0000E5070000}"/>
    <cellStyle name="PSHeading 2 29 2" xfId="6198" xr:uid="{06C07EA9-1D93-49A0-8F3E-F0D7E4E1D9FB}"/>
    <cellStyle name="PSHeading 2 29 3" xfId="4124" xr:uid="{4058B742-F963-44A1-9AE7-4F5882438114}"/>
    <cellStyle name="PSHeading 2 3" xfId="2013" xr:uid="{00000000-0005-0000-0000-0000E6070000}"/>
    <cellStyle name="PSHeading 2 3 2" xfId="6199" xr:uid="{3CCE440C-7B52-4BF6-B0C5-FAB9807ABCDB}"/>
    <cellStyle name="PSHeading 2 3 3" xfId="4125" xr:uid="{92998557-F6A1-4689-AB70-A37938B49D4C}"/>
    <cellStyle name="PSHeading 2 30" xfId="6177" xr:uid="{08A1B5D7-0813-4F30-8737-38A1488BCA83}"/>
    <cellStyle name="PSHeading 2 31" xfId="4103" xr:uid="{28EC6D40-530D-489E-8E43-CC22008E88EE}"/>
    <cellStyle name="PSHeading 2 4" xfId="2014" xr:uid="{00000000-0005-0000-0000-0000E7070000}"/>
    <cellStyle name="PSHeading 2 4 2" xfId="6200" xr:uid="{3BC2A2AC-4C30-46B3-9194-83EC8D252929}"/>
    <cellStyle name="PSHeading 2 4 3" xfId="4126" xr:uid="{70AF3399-E173-4F54-8A08-F621E55DB921}"/>
    <cellStyle name="PSHeading 2 5" xfId="2015" xr:uid="{00000000-0005-0000-0000-0000E8070000}"/>
    <cellStyle name="PSHeading 2 5 2" xfId="6201" xr:uid="{AB47BE60-DCE8-403A-B986-95886F095A69}"/>
    <cellStyle name="PSHeading 2 5 3" xfId="4127" xr:uid="{B88441F3-9DE1-4D2C-951E-71F47B51688E}"/>
    <cellStyle name="PSHeading 2 6" xfId="2016" xr:uid="{00000000-0005-0000-0000-0000E9070000}"/>
    <cellStyle name="PSHeading 2 6 2" xfId="6202" xr:uid="{F29412B5-53FA-4235-8974-C2E1FFF44642}"/>
    <cellStyle name="PSHeading 2 6 3" xfId="4128" xr:uid="{FA5B7053-BA5C-4B02-A9C4-62055D183AAB}"/>
    <cellStyle name="PSHeading 2 7" xfId="2017" xr:uid="{00000000-0005-0000-0000-0000EA070000}"/>
    <cellStyle name="PSHeading 2 7 2" xfId="6203" xr:uid="{8395BDE2-30B5-4B32-BE78-60B01A26A1E5}"/>
    <cellStyle name="PSHeading 2 7 3" xfId="4129" xr:uid="{AD2F9D91-E6C6-4991-922C-00493DAD96E4}"/>
    <cellStyle name="PSHeading 2 8" xfId="2018" xr:uid="{00000000-0005-0000-0000-0000EB070000}"/>
    <cellStyle name="PSHeading 2 8 2" xfId="6204" xr:uid="{7BDFF11A-45EF-41D4-B4FB-63E04D42AF7B}"/>
    <cellStyle name="PSHeading 2 8 3" xfId="4130" xr:uid="{49F7E84A-9EC1-45F4-B5D0-B7B15DBCF092}"/>
    <cellStyle name="PSHeading 2 9" xfId="2019" xr:uid="{00000000-0005-0000-0000-0000EC070000}"/>
    <cellStyle name="PSHeading 2 9 2" xfId="6205" xr:uid="{C11A6407-0996-466D-B72C-7A9DAD26F9D2}"/>
    <cellStyle name="PSHeading 2 9 3" xfId="4131" xr:uid="{31640E2F-BB81-4CE1-9B93-717A4580294D}"/>
    <cellStyle name="PSHeading 3" xfId="2020" xr:uid="{00000000-0005-0000-0000-0000ED070000}"/>
    <cellStyle name="PSHeading 3 10" xfId="2021" xr:uid="{00000000-0005-0000-0000-0000EE070000}"/>
    <cellStyle name="PSHeading 3 10 2" xfId="6207" xr:uid="{4419473E-4070-4E59-8149-C546839B600A}"/>
    <cellStyle name="PSHeading 3 10 3" xfId="4133" xr:uid="{1B1508F4-5DFF-488E-B4E4-464B0F523C2F}"/>
    <cellStyle name="PSHeading 3 11" xfId="2022" xr:uid="{00000000-0005-0000-0000-0000EF070000}"/>
    <cellStyle name="PSHeading 3 11 2" xfId="6208" xr:uid="{B1EEE812-EBAD-4B1B-9FC4-663E1D7982DC}"/>
    <cellStyle name="PSHeading 3 11 3" xfId="4134" xr:uid="{8B539891-A2ED-4CB3-B761-E5EBFC18D8CE}"/>
    <cellStyle name="PSHeading 3 12" xfId="2023" xr:uid="{00000000-0005-0000-0000-0000F0070000}"/>
    <cellStyle name="PSHeading 3 12 2" xfId="6209" xr:uid="{F8033903-C1DA-46FC-970F-63497B627659}"/>
    <cellStyle name="PSHeading 3 12 3" xfId="4135" xr:uid="{5AD82A5B-8FE3-4702-9810-A12875D552E3}"/>
    <cellStyle name="PSHeading 3 13" xfId="2024" xr:uid="{00000000-0005-0000-0000-0000F1070000}"/>
    <cellStyle name="PSHeading 3 13 2" xfId="6210" xr:uid="{5DDF5511-8D7C-4961-A89B-86B0D26A938A}"/>
    <cellStyle name="PSHeading 3 13 3" xfId="4136" xr:uid="{5FF5946A-11F7-4E0E-8051-566A63F57049}"/>
    <cellStyle name="PSHeading 3 14" xfId="2025" xr:uid="{00000000-0005-0000-0000-0000F2070000}"/>
    <cellStyle name="PSHeading 3 14 2" xfId="6211" xr:uid="{A6248B8D-4F69-4486-B932-2819E0009649}"/>
    <cellStyle name="PSHeading 3 14 3" xfId="4137" xr:uid="{F2393B84-D5A1-4578-B83B-5ECD431AA29F}"/>
    <cellStyle name="PSHeading 3 15" xfId="2026" xr:uid="{00000000-0005-0000-0000-0000F3070000}"/>
    <cellStyle name="PSHeading 3 15 2" xfId="6212" xr:uid="{9372EDA7-532C-48A2-8F9D-83670739D7FC}"/>
    <cellStyle name="PSHeading 3 15 3" xfId="4138" xr:uid="{173CC1F9-A612-4802-B5A5-996F68FD247B}"/>
    <cellStyle name="PSHeading 3 16" xfId="2027" xr:uid="{00000000-0005-0000-0000-0000F4070000}"/>
    <cellStyle name="PSHeading 3 16 2" xfId="6213" xr:uid="{0DE73B33-B39B-4DB5-8414-6CA1A74637D4}"/>
    <cellStyle name="PSHeading 3 16 3" xfId="4139" xr:uid="{EBDF10A6-322A-42CC-B16B-9F2697AEE5AA}"/>
    <cellStyle name="PSHeading 3 17" xfId="2028" xr:uid="{00000000-0005-0000-0000-0000F5070000}"/>
    <cellStyle name="PSHeading 3 17 2" xfId="6214" xr:uid="{D8231BD0-D3AC-4E82-A34B-F9B11D504A58}"/>
    <cellStyle name="PSHeading 3 17 3" xfId="4140" xr:uid="{4396A87F-81B6-43C8-A849-452CD4DE244E}"/>
    <cellStyle name="PSHeading 3 18" xfId="2029" xr:uid="{00000000-0005-0000-0000-0000F6070000}"/>
    <cellStyle name="PSHeading 3 18 2" xfId="6215" xr:uid="{EC7B0B20-0E8F-4FD9-BD72-C719BE07BD3D}"/>
    <cellStyle name="PSHeading 3 18 3" xfId="4141" xr:uid="{8B9B1201-16CB-43D4-8936-BCE3EC2EA055}"/>
    <cellStyle name="PSHeading 3 19" xfId="2030" xr:uid="{00000000-0005-0000-0000-0000F7070000}"/>
    <cellStyle name="PSHeading 3 19 2" xfId="6216" xr:uid="{12AB13D9-F278-4CDE-AE39-006D3B48B59F}"/>
    <cellStyle name="PSHeading 3 19 3" xfId="4142" xr:uid="{2D0B3A89-185D-44DC-8D4E-1AA730B3362B}"/>
    <cellStyle name="PSHeading 3 2" xfId="2031" xr:uid="{00000000-0005-0000-0000-0000F8070000}"/>
    <cellStyle name="PSHeading 3 2 2" xfId="6217" xr:uid="{2845C7EE-3588-4C3B-B6B3-FFF904EBAB35}"/>
    <cellStyle name="PSHeading 3 2 3" xfId="4143" xr:uid="{E1EE4552-02FD-4C10-8E53-DA5857D958C6}"/>
    <cellStyle name="PSHeading 3 20" xfId="2032" xr:uid="{00000000-0005-0000-0000-0000F9070000}"/>
    <cellStyle name="PSHeading 3 20 2" xfId="6218" xr:uid="{9BF519B1-37AE-4FAF-924B-9403DF4CC6E9}"/>
    <cellStyle name="PSHeading 3 20 3" xfId="4144" xr:uid="{403E5827-3E07-454B-B1A6-55DC1A3BAD34}"/>
    <cellStyle name="PSHeading 3 21" xfId="2033" xr:uid="{00000000-0005-0000-0000-0000FA070000}"/>
    <cellStyle name="PSHeading 3 21 2" xfId="6219" xr:uid="{5B502A7E-BDBE-43DE-9628-FFC76826B48D}"/>
    <cellStyle name="PSHeading 3 21 3" xfId="4145" xr:uid="{AC5A15D6-6BA3-454C-8578-9028A46B9A18}"/>
    <cellStyle name="PSHeading 3 22" xfId="2034" xr:uid="{00000000-0005-0000-0000-0000FB070000}"/>
    <cellStyle name="PSHeading 3 22 2" xfId="6220" xr:uid="{12FB9279-28EC-43C2-AC2C-855BF94B167D}"/>
    <cellStyle name="PSHeading 3 22 3" xfId="4146" xr:uid="{19671E8C-9A2B-4802-BB0F-40F6E3D8F2D3}"/>
    <cellStyle name="PSHeading 3 23" xfId="2035" xr:uid="{00000000-0005-0000-0000-0000FC070000}"/>
    <cellStyle name="PSHeading 3 23 2" xfId="6221" xr:uid="{6A027957-6FF0-4794-AA10-3530334FD60D}"/>
    <cellStyle name="PSHeading 3 23 3" xfId="4147" xr:uid="{8578C7F0-32B4-403C-90DA-5B18D8FB24AE}"/>
    <cellStyle name="PSHeading 3 24" xfId="2036" xr:uid="{00000000-0005-0000-0000-0000FD070000}"/>
    <cellStyle name="PSHeading 3 24 2" xfId="6222" xr:uid="{FF9BFCCF-2F93-4E27-BF74-5AE48EA5AFE5}"/>
    <cellStyle name="PSHeading 3 24 3" xfId="4148" xr:uid="{A53B8074-358F-4547-A93A-53A23725BAD4}"/>
    <cellStyle name="PSHeading 3 25" xfId="2037" xr:uid="{00000000-0005-0000-0000-0000FE070000}"/>
    <cellStyle name="PSHeading 3 25 2" xfId="6223" xr:uid="{D39CE626-82C9-4F72-B12C-B4281E915A6E}"/>
    <cellStyle name="PSHeading 3 25 3" xfId="4149" xr:uid="{37D234A7-0961-480C-91C8-2406B35F8DF5}"/>
    <cellStyle name="PSHeading 3 26" xfId="2038" xr:uid="{00000000-0005-0000-0000-0000FF070000}"/>
    <cellStyle name="PSHeading 3 26 2" xfId="6224" xr:uid="{4A632EA1-F985-4D90-B36D-F9B0E3A5389E}"/>
    <cellStyle name="PSHeading 3 26 3" xfId="4150" xr:uid="{D406E899-27AF-4AD3-84F0-25185D27E291}"/>
    <cellStyle name="PSHeading 3 27" xfId="2039" xr:uid="{00000000-0005-0000-0000-000000080000}"/>
    <cellStyle name="PSHeading 3 27 2" xfId="6225" xr:uid="{69B3658C-98C9-4B9A-823A-53416EB2490D}"/>
    <cellStyle name="PSHeading 3 27 3" xfId="4151" xr:uid="{18E0A1CA-4AE0-4DFD-8197-3BB7F1AE256F}"/>
    <cellStyle name="PSHeading 3 28" xfId="2040" xr:uid="{00000000-0005-0000-0000-000001080000}"/>
    <cellStyle name="PSHeading 3 28 2" xfId="6226" xr:uid="{A7285446-3627-4582-A776-9E8768D8A130}"/>
    <cellStyle name="PSHeading 3 28 3" xfId="4152" xr:uid="{12C0E39F-6899-4216-A876-0DCE61254E31}"/>
    <cellStyle name="PSHeading 3 29" xfId="2041" xr:uid="{00000000-0005-0000-0000-000002080000}"/>
    <cellStyle name="PSHeading 3 29 2" xfId="6227" xr:uid="{38B333C2-AE30-4EF3-A0C4-80D992896F33}"/>
    <cellStyle name="PSHeading 3 29 3" xfId="4153" xr:uid="{1C2D68F3-C801-4679-BF67-55F070A668A5}"/>
    <cellStyle name="PSHeading 3 3" xfId="2042" xr:uid="{00000000-0005-0000-0000-000003080000}"/>
    <cellStyle name="PSHeading 3 3 2" xfId="6228" xr:uid="{1FA1327C-7202-4301-B2B8-01C9DEE654FA}"/>
    <cellStyle name="PSHeading 3 3 3" xfId="4154" xr:uid="{AC4F16C0-CD9C-499F-B80C-2C8AA46F11F0}"/>
    <cellStyle name="PSHeading 3 30" xfId="6206" xr:uid="{F5205D1D-632A-44AD-8A47-A2C17D77198D}"/>
    <cellStyle name="PSHeading 3 31" xfId="4132" xr:uid="{D5C557AB-5C85-41BE-9C1D-7D5E7881ECF3}"/>
    <cellStyle name="PSHeading 3 4" xfId="2043" xr:uid="{00000000-0005-0000-0000-000004080000}"/>
    <cellStyle name="PSHeading 3 4 2" xfId="6229" xr:uid="{6B027597-4C5D-49F3-ADEE-D33625F4B8AC}"/>
    <cellStyle name="PSHeading 3 4 3" xfId="4155" xr:uid="{B7D9C35F-423D-4859-984B-FF8963320B90}"/>
    <cellStyle name="PSHeading 3 5" xfId="2044" xr:uid="{00000000-0005-0000-0000-000005080000}"/>
    <cellStyle name="PSHeading 3 5 2" xfId="6230" xr:uid="{50848966-0728-4FD8-8F2B-1DE4BF2A6D2F}"/>
    <cellStyle name="PSHeading 3 5 3" xfId="4156" xr:uid="{8C936CB3-B735-4C64-84F1-4FE7A098C84F}"/>
    <cellStyle name="PSHeading 3 6" xfId="2045" xr:uid="{00000000-0005-0000-0000-000006080000}"/>
    <cellStyle name="PSHeading 3 6 2" xfId="6231" xr:uid="{F66772A7-A146-470F-A15E-DBD121AD1016}"/>
    <cellStyle name="PSHeading 3 6 3" xfId="4157" xr:uid="{01C93367-7178-4679-B4CB-252EA289503D}"/>
    <cellStyle name="PSHeading 3 7" xfId="2046" xr:uid="{00000000-0005-0000-0000-000007080000}"/>
    <cellStyle name="PSHeading 3 7 2" xfId="6232" xr:uid="{FC88C57C-1E10-47E4-8153-C01BC63710C8}"/>
    <cellStyle name="PSHeading 3 7 3" xfId="4158" xr:uid="{0C049F1F-7F2B-4326-AEC8-19ABCE62933C}"/>
    <cellStyle name="PSHeading 3 8" xfId="2047" xr:uid="{00000000-0005-0000-0000-000008080000}"/>
    <cellStyle name="PSHeading 3 8 2" xfId="6233" xr:uid="{05C71615-E21B-4AA6-90D2-20C82E5F2E57}"/>
    <cellStyle name="PSHeading 3 8 3" xfId="4159" xr:uid="{8BCE9668-797E-4CC2-B593-CE6E02A65663}"/>
    <cellStyle name="PSHeading 3 9" xfId="2048" xr:uid="{00000000-0005-0000-0000-000009080000}"/>
    <cellStyle name="PSHeading 3 9 2" xfId="6234" xr:uid="{6922C673-760D-4F56-8F87-BCA0D23117F9}"/>
    <cellStyle name="PSHeading 3 9 3" xfId="4160" xr:uid="{BBDDF58B-780E-48AB-BCC7-E04DFED094C8}"/>
    <cellStyle name="PSHeading 4" xfId="2049" xr:uid="{00000000-0005-0000-0000-00000A080000}"/>
    <cellStyle name="PSHeading 4 10" xfId="2050" xr:uid="{00000000-0005-0000-0000-00000B080000}"/>
    <cellStyle name="PSHeading 4 10 2" xfId="6236" xr:uid="{846FBAC2-4139-485C-91BB-AFEDA03D6410}"/>
    <cellStyle name="PSHeading 4 10 3" xfId="4162" xr:uid="{75901358-F0F1-4FBE-B3DB-0A8E3DF671E4}"/>
    <cellStyle name="PSHeading 4 11" xfId="2051" xr:uid="{00000000-0005-0000-0000-00000C080000}"/>
    <cellStyle name="PSHeading 4 11 2" xfId="6237" xr:uid="{E73F2BD1-5D69-4977-9453-A13B55D3898D}"/>
    <cellStyle name="PSHeading 4 11 3" xfId="4163" xr:uid="{C01DEEB0-820D-4DE6-9DDC-750B7C04039F}"/>
    <cellStyle name="PSHeading 4 12" xfId="2052" xr:uid="{00000000-0005-0000-0000-00000D080000}"/>
    <cellStyle name="PSHeading 4 12 2" xfId="6238" xr:uid="{177947D3-BDB7-444F-8170-CC576321A68B}"/>
    <cellStyle name="PSHeading 4 12 3" xfId="4164" xr:uid="{F352D94C-2306-418A-B100-3E60EBE7F5C6}"/>
    <cellStyle name="PSHeading 4 13" xfId="2053" xr:uid="{00000000-0005-0000-0000-00000E080000}"/>
    <cellStyle name="PSHeading 4 13 2" xfId="6239" xr:uid="{278E8B62-47F3-4AAA-8C13-09F93EDCDF31}"/>
    <cellStyle name="PSHeading 4 13 3" xfId="4165" xr:uid="{ED11354D-F069-451D-B628-09CCCDF8D685}"/>
    <cellStyle name="PSHeading 4 14" xfId="2054" xr:uid="{00000000-0005-0000-0000-00000F080000}"/>
    <cellStyle name="PSHeading 4 14 2" xfId="6240" xr:uid="{4D831641-ACC2-459B-9B98-A524E4873AF9}"/>
    <cellStyle name="PSHeading 4 14 3" xfId="4166" xr:uid="{EFF485F7-BF8C-48A8-83D9-E126CFD89C63}"/>
    <cellStyle name="PSHeading 4 15" xfId="2055" xr:uid="{00000000-0005-0000-0000-000010080000}"/>
    <cellStyle name="PSHeading 4 15 2" xfId="6241" xr:uid="{1F6D15A8-FF9A-4473-9F0C-8D8A298F94AB}"/>
    <cellStyle name="PSHeading 4 15 3" xfId="4167" xr:uid="{29A0CAE5-5D04-42FC-A768-AFF32551C3B1}"/>
    <cellStyle name="PSHeading 4 16" xfId="2056" xr:uid="{00000000-0005-0000-0000-000011080000}"/>
    <cellStyle name="PSHeading 4 16 2" xfId="6242" xr:uid="{3E3DF081-0136-4D99-B708-5A621B916AD4}"/>
    <cellStyle name="PSHeading 4 16 3" xfId="4168" xr:uid="{300CFF2D-9AAA-4A07-A37C-CA9AB468631D}"/>
    <cellStyle name="PSHeading 4 17" xfId="2057" xr:uid="{00000000-0005-0000-0000-000012080000}"/>
    <cellStyle name="PSHeading 4 17 2" xfId="6243" xr:uid="{195F3FAB-5C4E-41D5-B3BC-3646DE120C1C}"/>
    <cellStyle name="PSHeading 4 17 3" xfId="4169" xr:uid="{434C4C4B-1CC9-44FD-B8CB-AF447055FAFF}"/>
    <cellStyle name="PSHeading 4 18" xfId="2058" xr:uid="{00000000-0005-0000-0000-000013080000}"/>
    <cellStyle name="PSHeading 4 18 2" xfId="6244" xr:uid="{C7661BF0-BB01-437D-A57C-509C4F1D490E}"/>
    <cellStyle name="PSHeading 4 18 3" xfId="4170" xr:uid="{03E916A4-1110-49B7-9FFF-9583F2839F78}"/>
    <cellStyle name="PSHeading 4 19" xfId="2059" xr:uid="{00000000-0005-0000-0000-000014080000}"/>
    <cellStyle name="PSHeading 4 19 2" xfId="6245" xr:uid="{7E0E0436-AAC5-41FA-BC3B-023296DE71C9}"/>
    <cellStyle name="PSHeading 4 19 3" xfId="4171" xr:uid="{04C70832-31D2-4C4F-B232-8C7C344569E8}"/>
    <cellStyle name="PSHeading 4 2" xfId="2060" xr:uid="{00000000-0005-0000-0000-000015080000}"/>
    <cellStyle name="PSHeading 4 2 2" xfId="6246" xr:uid="{C51A2AD6-E1D9-42B7-B010-D41742E58C6B}"/>
    <cellStyle name="PSHeading 4 2 3" xfId="4172" xr:uid="{0B6B0712-7BAF-4440-8E53-166DC3872808}"/>
    <cellStyle name="PSHeading 4 20" xfId="2061" xr:uid="{00000000-0005-0000-0000-000016080000}"/>
    <cellStyle name="PSHeading 4 20 2" xfId="6247" xr:uid="{6DE6DF57-3431-4589-A671-D3E058226333}"/>
    <cellStyle name="PSHeading 4 20 3" xfId="4173" xr:uid="{1CF61DB6-9D7C-493F-941E-5D6A82FCB94F}"/>
    <cellStyle name="PSHeading 4 21" xfId="2062" xr:uid="{00000000-0005-0000-0000-000017080000}"/>
    <cellStyle name="PSHeading 4 21 2" xfId="6248" xr:uid="{8EE048D0-1EBA-48EB-A0C9-E054BBA20311}"/>
    <cellStyle name="PSHeading 4 21 3" xfId="4174" xr:uid="{866B4232-510E-4828-92FF-D62985892870}"/>
    <cellStyle name="PSHeading 4 22" xfId="2063" xr:uid="{00000000-0005-0000-0000-000018080000}"/>
    <cellStyle name="PSHeading 4 22 2" xfId="6249" xr:uid="{50681E0F-5019-4F06-AE66-D1B8C2ACC3C9}"/>
    <cellStyle name="PSHeading 4 22 3" xfId="4175" xr:uid="{F45808E2-8015-4F54-9D2C-790A4040D805}"/>
    <cellStyle name="PSHeading 4 23" xfId="2064" xr:uid="{00000000-0005-0000-0000-000019080000}"/>
    <cellStyle name="PSHeading 4 23 2" xfId="6250" xr:uid="{34539F99-1807-4105-B88C-E81AA69F241C}"/>
    <cellStyle name="PSHeading 4 23 3" xfId="4176" xr:uid="{862F89DD-2A43-4D4A-9E1F-4BF963C1A49B}"/>
    <cellStyle name="PSHeading 4 24" xfId="2065" xr:uid="{00000000-0005-0000-0000-00001A080000}"/>
    <cellStyle name="PSHeading 4 24 2" xfId="6251" xr:uid="{B5337B8F-91CD-4E9D-B1D0-4AD28FB58DAA}"/>
    <cellStyle name="PSHeading 4 24 3" xfId="4177" xr:uid="{7A6C51DE-B2E9-4AE5-A3F6-6AECAD4EB9BD}"/>
    <cellStyle name="PSHeading 4 25" xfId="2066" xr:uid="{00000000-0005-0000-0000-00001B080000}"/>
    <cellStyle name="PSHeading 4 25 2" xfId="6252" xr:uid="{A65CE7D9-E112-452D-9AE9-075F891E4D0D}"/>
    <cellStyle name="PSHeading 4 25 3" xfId="4178" xr:uid="{BC599C63-5AEC-4037-A71A-DCFD1743DD98}"/>
    <cellStyle name="PSHeading 4 26" xfId="2067" xr:uid="{00000000-0005-0000-0000-00001C080000}"/>
    <cellStyle name="PSHeading 4 26 2" xfId="6253" xr:uid="{6C1C94AD-1D08-43A1-BF81-9E0991403D06}"/>
    <cellStyle name="PSHeading 4 26 3" xfId="4179" xr:uid="{C3227AD0-69D8-45AA-80F0-BB91AB8F9DE9}"/>
    <cellStyle name="PSHeading 4 27" xfId="2068" xr:uid="{00000000-0005-0000-0000-00001D080000}"/>
    <cellStyle name="PSHeading 4 27 2" xfId="6254" xr:uid="{CD99C530-D4DF-42F8-9DF5-7C5357D7C708}"/>
    <cellStyle name="PSHeading 4 27 3" xfId="4180" xr:uid="{6481873A-066F-476E-9215-8C3262703B13}"/>
    <cellStyle name="PSHeading 4 28" xfId="2069" xr:uid="{00000000-0005-0000-0000-00001E080000}"/>
    <cellStyle name="PSHeading 4 28 2" xfId="6255" xr:uid="{703427EA-1BB1-43F2-BE9E-AB7EDD281D07}"/>
    <cellStyle name="PSHeading 4 28 3" xfId="4181" xr:uid="{01177665-F07B-456F-BFE3-A787CB808799}"/>
    <cellStyle name="PSHeading 4 29" xfId="2070" xr:uid="{00000000-0005-0000-0000-00001F080000}"/>
    <cellStyle name="PSHeading 4 29 2" xfId="6256" xr:uid="{39CC02CA-B7DA-4BBF-AC2F-A66CB2FA24C5}"/>
    <cellStyle name="PSHeading 4 29 3" xfId="4182" xr:uid="{6D84AECE-063C-412A-B84C-C0F324311714}"/>
    <cellStyle name="PSHeading 4 3" xfId="2071" xr:uid="{00000000-0005-0000-0000-000020080000}"/>
    <cellStyle name="PSHeading 4 3 2" xfId="6257" xr:uid="{36EC1D88-3E62-4E38-BDB2-191F43F39C2D}"/>
    <cellStyle name="PSHeading 4 3 3" xfId="4183" xr:uid="{2D4F539A-74BB-4985-9F42-D3F864739E95}"/>
    <cellStyle name="PSHeading 4 30" xfId="6235" xr:uid="{AFC06BF7-4023-45DC-9FE8-CCE6CAA99015}"/>
    <cellStyle name="PSHeading 4 31" xfId="4161" xr:uid="{C8B79CC4-6638-44CF-8820-A818C1A1D827}"/>
    <cellStyle name="PSHeading 4 4" xfId="2072" xr:uid="{00000000-0005-0000-0000-000021080000}"/>
    <cellStyle name="PSHeading 4 4 2" xfId="6258" xr:uid="{03D86AE5-753E-45A5-951F-3A568732EFA4}"/>
    <cellStyle name="PSHeading 4 4 3" xfId="4184" xr:uid="{D6C1A0D1-872F-4A36-B41B-4F39BB83D697}"/>
    <cellStyle name="PSHeading 4 5" xfId="2073" xr:uid="{00000000-0005-0000-0000-000022080000}"/>
    <cellStyle name="PSHeading 4 5 2" xfId="6259" xr:uid="{991B6D35-E626-405D-8651-F4BAE1FD0EAB}"/>
    <cellStyle name="PSHeading 4 5 3" xfId="4185" xr:uid="{B63D0AC7-0DAD-4634-A2E6-699EE65228F9}"/>
    <cellStyle name="PSHeading 4 6" xfId="2074" xr:uid="{00000000-0005-0000-0000-000023080000}"/>
    <cellStyle name="PSHeading 4 6 2" xfId="6260" xr:uid="{03AF3E9C-6810-4654-9D8B-DC2DF59949D8}"/>
    <cellStyle name="PSHeading 4 6 3" xfId="4186" xr:uid="{1EED1561-FAFB-462E-89C9-16DDE28C6C07}"/>
    <cellStyle name="PSHeading 4 7" xfId="2075" xr:uid="{00000000-0005-0000-0000-000024080000}"/>
    <cellStyle name="PSHeading 4 7 2" xfId="6261" xr:uid="{ECC91E49-A68C-47DF-B429-6E56ED2DC851}"/>
    <cellStyle name="PSHeading 4 7 3" xfId="4187" xr:uid="{D16E2017-CF36-482D-A323-B04FAFDC4DE4}"/>
    <cellStyle name="PSHeading 4 8" xfId="2076" xr:uid="{00000000-0005-0000-0000-000025080000}"/>
    <cellStyle name="PSHeading 4 8 2" xfId="6262" xr:uid="{5A23A686-5BC1-46DF-B156-07F060E8B84B}"/>
    <cellStyle name="PSHeading 4 8 3" xfId="4188" xr:uid="{26542379-24F6-4823-B2F0-B1592829D3CF}"/>
    <cellStyle name="PSHeading 4 9" xfId="2077" xr:uid="{00000000-0005-0000-0000-000026080000}"/>
    <cellStyle name="PSHeading 4 9 2" xfId="6263" xr:uid="{371AE323-1634-426B-AE82-E7A9033591AE}"/>
    <cellStyle name="PSHeading 4 9 3" xfId="4189" xr:uid="{8590CA6B-287E-47CD-8F10-CEF715294098}"/>
    <cellStyle name="PSHeading 5" xfId="2078" xr:uid="{00000000-0005-0000-0000-000027080000}"/>
    <cellStyle name="PSHeading 5 10" xfId="2079" xr:uid="{00000000-0005-0000-0000-000028080000}"/>
    <cellStyle name="PSHeading 5 10 2" xfId="6265" xr:uid="{A4161A3D-0CE4-4F31-BE60-1286F4EA9BD3}"/>
    <cellStyle name="PSHeading 5 10 3" xfId="4191" xr:uid="{F4D4C54B-B27E-4200-8CC7-885522711D5B}"/>
    <cellStyle name="PSHeading 5 11" xfId="2080" xr:uid="{00000000-0005-0000-0000-000029080000}"/>
    <cellStyle name="PSHeading 5 11 2" xfId="6266" xr:uid="{9D7B6748-C1CC-4BCA-8627-788C6D6A30B8}"/>
    <cellStyle name="PSHeading 5 11 3" xfId="4192" xr:uid="{3B67B41F-CCAC-4DA0-8412-46F419F5288D}"/>
    <cellStyle name="PSHeading 5 12" xfId="2081" xr:uid="{00000000-0005-0000-0000-00002A080000}"/>
    <cellStyle name="PSHeading 5 12 2" xfId="6267" xr:uid="{C45D6AA0-6212-48CE-A49E-B3F08E3F10D2}"/>
    <cellStyle name="PSHeading 5 12 3" xfId="4193" xr:uid="{7BD70230-C883-4EDB-ADC3-685F1AAD1A58}"/>
    <cellStyle name="PSHeading 5 13" xfId="2082" xr:uid="{00000000-0005-0000-0000-00002B080000}"/>
    <cellStyle name="PSHeading 5 13 2" xfId="6268" xr:uid="{A747C537-65F4-488C-94F0-18C90DF0DE43}"/>
    <cellStyle name="PSHeading 5 13 3" xfId="4194" xr:uid="{C29278F2-B605-4682-9CC3-3F7266681330}"/>
    <cellStyle name="PSHeading 5 14" xfId="2083" xr:uid="{00000000-0005-0000-0000-00002C080000}"/>
    <cellStyle name="PSHeading 5 14 2" xfId="6269" xr:uid="{E6FCB15B-F164-446A-BA77-5F5921A29949}"/>
    <cellStyle name="PSHeading 5 14 3" xfId="4195" xr:uid="{56454350-F7CF-4FFB-A8FC-2C685E7E22BD}"/>
    <cellStyle name="PSHeading 5 15" xfId="2084" xr:uid="{00000000-0005-0000-0000-00002D080000}"/>
    <cellStyle name="PSHeading 5 15 2" xfId="6270" xr:uid="{03C11433-405B-4A1C-9632-B9093F34A1F2}"/>
    <cellStyle name="PSHeading 5 15 3" xfId="4196" xr:uid="{9BDF0BF4-D103-4E76-99CF-B70BEB037435}"/>
    <cellStyle name="PSHeading 5 16" xfId="2085" xr:uid="{00000000-0005-0000-0000-00002E080000}"/>
    <cellStyle name="PSHeading 5 16 2" xfId="6271" xr:uid="{0FAEA251-558F-49F2-9786-57A9E43A682E}"/>
    <cellStyle name="PSHeading 5 16 3" xfId="4197" xr:uid="{1755A767-4F56-4F0E-9DF0-6F5C3295E9BD}"/>
    <cellStyle name="PSHeading 5 17" xfId="2086" xr:uid="{00000000-0005-0000-0000-00002F080000}"/>
    <cellStyle name="PSHeading 5 17 2" xfId="6272" xr:uid="{BAE2542E-59C3-458B-B379-6D7BE439D4D8}"/>
    <cellStyle name="PSHeading 5 17 3" xfId="4198" xr:uid="{C92A61B7-13B0-4241-B272-4B38709B1D1E}"/>
    <cellStyle name="PSHeading 5 18" xfId="2087" xr:uid="{00000000-0005-0000-0000-000030080000}"/>
    <cellStyle name="PSHeading 5 18 2" xfId="6273" xr:uid="{6106216A-48DB-4799-9C34-75772386A0BC}"/>
    <cellStyle name="PSHeading 5 18 3" xfId="4199" xr:uid="{2BD5FFA7-F8CB-4A45-BED0-710658574A77}"/>
    <cellStyle name="PSHeading 5 19" xfId="2088" xr:uid="{00000000-0005-0000-0000-000031080000}"/>
    <cellStyle name="PSHeading 5 19 2" xfId="6274" xr:uid="{4731EE89-542E-46E1-8603-53667A9AB2F5}"/>
    <cellStyle name="PSHeading 5 19 3" xfId="4200" xr:uid="{B1B4C2B8-9D79-45ED-8A7E-A828B8BB67D2}"/>
    <cellStyle name="PSHeading 5 2" xfId="2089" xr:uid="{00000000-0005-0000-0000-000032080000}"/>
    <cellStyle name="PSHeading 5 2 2" xfId="6275" xr:uid="{697BC0CD-B7FA-4DA2-BDF7-3C60483401AB}"/>
    <cellStyle name="PSHeading 5 2 3" xfId="4201" xr:uid="{49FA41A1-B5E2-4A8A-906A-15CEC3EA1248}"/>
    <cellStyle name="PSHeading 5 20" xfId="2090" xr:uid="{00000000-0005-0000-0000-000033080000}"/>
    <cellStyle name="PSHeading 5 20 2" xfId="6276" xr:uid="{1B8B05D0-E181-4044-883A-5772BD77858E}"/>
    <cellStyle name="PSHeading 5 20 3" xfId="4202" xr:uid="{B940B596-8AC2-4BB8-A6C7-A7399718F2A6}"/>
    <cellStyle name="PSHeading 5 21" xfId="2091" xr:uid="{00000000-0005-0000-0000-000034080000}"/>
    <cellStyle name="PSHeading 5 21 2" xfId="6277" xr:uid="{320ADF76-1103-4AD7-AAB4-50C944FDB128}"/>
    <cellStyle name="PSHeading 5 21 3" xfId="4203" xr:uid="{76FFC57B-5D52-4EA0-AAA8-5062CC63A454}"/>
    <cellStyle name="PSHeading 5 22" xfId="2092" xr:uid="{00000000-0005-0000-0000-000035080000}"/>
    <cellStyle name="PSHeading 5 22 2" xfId="6278" xr:uid="{DF2CB9FF-B69D-47E3-BDC6-3CE7C45EB037}"/>
    <cellStyle name="PSHeading 5 22 3" xfId="4204" xr:uid="{78D4B92A-18B1-46EC-8083-5E30C8408024}"/>
    <cellStyle name="PSHeading 5 23" xfId="2093" xr:uid="{00000000-0005-0000-0000-000036080000}"/>
    <cellStyle name="PSHeading 5 23 2" xfId="6279" xr:uid="{07810339-AC0B-47AA-89BA-4F1EFEDA7F1D}"/>
    <cellStyle name="PSHeading 5 23 3" xfId="4205" xr:uid="{CAE8E3B0-ADC0-4B6D-AB40-24EC33F44E4A}"/>
    <cellStyle name="PSHeading 5 24" xfId="2094" xr:uid="{00000000-0005-0000-0000-000037080000}"/>
    <cellStyle name="PSHeading 5 24 2" xfId="6280" xr:uid="{5A071CB9-1FEB-4AFF-A40E-29141D693C2E}"/>
    <cellStyle name="PSHeading 5 24 3" xfId="4206" xr:uid="{40226058-1BF5-41FD-9ECD-A6AF2ED29EEF}"/>
    <cellStyle name="PSHeading 5 25" xfId="2095" xr:uid="{00000000-0005-0000-0000-000038080000}"/>
    <cellStyle name="PSHeading 5 25 2" xfId="6281" xr:uid="{E4A5AC40-ACF2-4D8B-90AC-8AFCBF385214}"/>
    <cellStyle name="PSHeading 5 25 3" xfId="4207" xr:uid="{8947777A-82F7-4A8E-8799-1B82CF201F5D}"/>
    <cellStyle name="PSHeading 5 26" xfId="2096" xr:uid="{00000000-0005-0000-0000-000039080000}"/>
    <cellStyle name="PSHeading 5 26 2" xfId="6282" xr:uid="{24CDDF5E-CB27-426A-8615-2A0664A69E20}"/>
    <cellStyle name="PSHeading 5 26 3" xfId="4208" xr:uid="{319F4ACC-EABD-445F-BC82-C7BCBB2F3D71}"/>
    <cellStyle name="PSHeading 5 27" xfId="2097" xr:uid="{00000000-0005-0000-0000-00003A080000}"/>
    <cellStyle name="PSHeading 5 27 2" xfId="6283" xr:uid="{123DA4FB-5A4C-4665-AAF0-FA7100B6FE9B}"/>
    <cellStyle name="PSHeading 5 27 3" xfId="4209" xr:uid="{80BC3F3D-E6D0-4E5E-9921-8B3185DF1C18}"/>
    <cellStyle name="PSHeading 5 28" xfId="2098" xr:uid="{00000000-0005-0000-0000-00003B080000}"/>
    <cellStyle name="PSHeading 5 28 2" xfId="6284" xr:uid="{B86EF444-A788-4FE4-9487-A21BE50F9871}"/>
    <cellStyle name="PSHeading 5 28 3" xfId="4210" xr:uid="{5DEF1F4A-11CA-448C-8766-E85EB31B7330}"/>
    <cellStyle name="PSHeading 5 29" xfId="2099" xr:uid="{00000000-0005-0000-0000-00003C080000}"/>
    <cellStyle name="PSHeading 5 29 2" xfId="6285" xr:uid="{8A6072B7-BFD6-4F8D-82FA-FF2115569486}"/>
    <cellStyle name="PSHeading 5 29 3" xfId="4211" xr:uid="{6F55F712-1F67-47ED-8A0D-F03E2E52B492}"/>
    <cellStyle name="PSHeading 5 3" xfId="2100" xr:uid="{00000000-0005-0000-0000-00003D080000}"/>
    <cellStyle name="PSHeading 5 3 2" xfId="6286" xr:uid="{600762ED-2424-4CA1-AEDB-BB2F89081860}"/>
    <cellStyle name="PSHeading 5 3 3" xfId="4212" xr:uid="{4C56EA7C-4DD2-4DDA-AD7D-78E385E271E7}"/>
    <cellStyle name="PSHeading 5 30" xfId="6264" xr:uid="{DB0F8EF0-3649-485A-8929-5DEECCAC8AE0}"/>
    <cellStyle name="PSHeading 5 31" xfId="4190" xr:uid="{D1244E91-332C-4007-92D7-228F90C5656C}"/>
    <cellStyle name="PSHeading 5 4" xfId="2101" xr:uid="{00000000-0005-0000-0000-00003E080000}"/>
    <cellStyle name="PSHeading 5 4 2" xfId="6287" xr:uid="{F74FE684-1C7E-4ECF-AA46-F3A0586ADB86}"/>
    <cellStyle name="PSHeading 5 4 3" xfId="4213" xr:uid="{52840620-8B73-4D0B-9CF2-3DA76200E615}"/>
    <cellStyle name="PSHeading 5 5" xfId="2102" xr:uid="{00000000-0005-0000-0000-00003F080000}"/>
    <cellStyle name="PSHeading 5 5 2" xfId="6288" xr:uid="{9C1E1634-7F1D-4C61-9513-1688AE05B724}"/>
    <cellStyle name="PSHeading 5 5 3" xfId="4214" xr:uid="{F426356D-25D8-4D7A-94B5-FF92F56BEA44}"/>
    <cellStyle name="PSHeading 5 6" xfId="2103" xr:uid="{00000000-0005-0000-0000-000040080000}"/>
    <cellStyle name="PSHeading 5 6 2" xfId="6289" xr:uid="{12AE7AC6-E1FF-4274-B4D8-190A0D87FBF3}"/>
    <cellStyle name="PSHeading 5 6 3" xfId="4215" xr:uid="{704EF7DC-58E5-49A3-ABE6-531A1EB5436E}"/>
    <cellStyle name="PSHeading 5 7" xfId="2104" xr:uid="{00000000-0005-0000-0000-000041080000}"/>
    <cellStyle name="PSHeading 5 7 2" xfId="6290" xr:uid="{C697D3C9-B748-4724-98D8-E2901F361BA4}"/>
    <cellStyle name="PSHeading 5 7 3" xfId="4216" xr:uid="{026C0759-088A-4966-B750-EC176CD74335}"/>
    <cellStyle name="PSHeading 5 8" xfId="2105" xr:uid="{00000000-0005-0000-0000-000042080000}"/>
    <cellStyle name="PSHeading 5 8 2" xfId="6291" xr:uid="{F43566FC-E420-4B39-BCD5-9B879392E507}"/>
    <cellStyle name="PSHeading 5 8 3" xfId="4217" xr:uid="{2135EF28-7F9C-44AB-803D-F70F42082341}"/>
    <cellStyle name="PSHeading 5 9" xfId="2106" xr:uid="{00000000-0005-0000-0000-000043080000}"/>
    <cellStyle name="PSHeading 5 9 2" xfId="6292" xr:uid="{88AAE31A-29CB-458B-BD06-59ABC6522440}"/>
    <cellStyle name="PSHeading 5 9 3" xfId="4218" xr:uid="{7FA51C07-7A65-45CC-AE13-60182A201B90}"/>
    <cellStyle name="PSHeading 6" xfId="2107" xr:uid="{00000000-0005-0000-0000-000044080000}"/>
    <cellStyle name="PSHeading 6 10" xfId="2108" xr:uid="{00000000-0005-0000-0000-000045080000}"/>
    <cellStyle name="PSHeading 6 10 2" xfId="6294" xr:uid="{66B8F094-24A5-402E-AE04-DFE1ED08F121}"/>
    <cellStyle name="PSHeading 6 10 3" xfId="4220" xr:uid="{2D2E0918-6F54-45B4-B43C-2E4F2E9894D7}"/>
    <cellStyle name="PSHeading 6 11" xfId="2109" xr:uid="{00000000-0005-0000-0000-000046080000}"/>
    <cellStyle name="PSHeading 6 11 2" xfId="6295" xr:uid="{7105FDEC-759D-4750-8156-38789FCD43A8}"/>
    <cellStyle name="PSHeading 6 11 3" xfId="4221" xr:uid="{DF745510-39B2-404F-8AAE-AB074A9C7FEF}"/>
    <cellStyle name="PSHeading 6 12" xfId="2110" xr:uid="{00000000-0005-0000-0000-000047080000}"/>
    <cellStyle name="PSHeading 6 12 2" xfId="6296" xr:uid="{A2DFADA3-C1BD-4B49-8A67-5E397E427338}"/>
    <cellStyle name="PSHeading 6 12 3" xfId="4222" xr:uid="{50DE91CF-3185-45AF-A34A-E8FFF4670CA0}"/>
    <cellStyle name="PSHeading 6 13" xfId="2111" xr:uid="{00000000-0005-0000-0000-000048080000}"/>
    <cellStyle name="PSHeading 6 13 2" xfId="6297" xr:uid="{3A2172DF-CAF4-45D7-8B3B-50C00F758846}"/>
    <cellStyle name="PSHeading 6 13 3" xfId="4223" xr:uid="{A9649FA7-64FC-4FCF-97D6-42B4EDCD3018}"/>
    <cellStyle name="PSHeading 6 14" xfId="2112" xr:uid="{00000000-0005-0000-0000-000049080000}"/>
    <cellStyle name="PSHeading 6 14 2" xfId="6298" xr:uid="{DCA639A7-8A4A-4E48-AA07-1F366F935090}"/>
    <cellStyle name="PSHeading 6 14 3" xfId="4224" xr:uid="{CEFB6676-7697-4439-8FEE-E13B45257F2E}"/>
    <cellStyle name="PSHeading 6 15" xfId="2113" xr:uid="{00000000-0005-0000-0000-00004A080000}"/>
    <cellStyle name="PSHeading 6 15 2" xfId="6299" xr:uid="{E106DA4A-12FB-4535-B25A-7008036874F0}"/>
    <cellStyle name="PSHeading 6 15 3" xfId="4225" xr:uid="{86DE63A3-B8A5-4E2D-9B29-ED602120ADED}"/>
    <cellStyle name="PSHeading 6 16" xfId="2114" xr:uid="{00000000-0005-0000-0000-00004B080000}"/>
    <cellStyle name="PSHeading 6 16 2" xfId="6300" xr:uid="{8FE90C51-3A2B-42C1-A7FF-E8A35C0B4AF0}"/>
    <cellStyle name="PSHeading 6 16 3" xfId="4226" xr:uid="{B1924958-EB5D-4257-9D31-490311E01D0A}"/>
    <cellStyle name="PSHeading 6 17" xfId="2115" xr:uid="{00000000-0005-0000-0000-00004C080000}"/>
    <cellStyle name="PSHeading 6 17 2" xfId="6301" xr:uid="{7D9EBAAB-33A0-4A06-B748-1870CE34CB30}"/>
    <cellStyle name="PSHeading 6 17 3" xfId="4227" xr:uid="{ED01AB9A-C5C0-48FB-85F0-0365FD18CA75}"/>
    <cellStyle name="PSHeading 6 18" xfId="2116" xr:uid="{00000000-0005-0000-0000-00004D080000}"/>
    <cellStyle name="PSHeading 6 18 2" xfId="6302" xr:uid="{1EA841E6-478A-45EE-A0C8-336CA6A3AF9E}"/>
    <cellStyle name="PSHeading 6 18 3" xfId="4228" xr:uid="{74DC3FCC-A549-4FF7-AA18-C90FB0FF796B}"/>
    <cellStyle name="PSHeading 6 19" xfId="2117" xr:uid="{00000000-0005-0000-0000-00004E080000}"/>
    <cellStyle name="PSHeading 6 19 2" xfId="6303" xr:uid="{8953A581-8DC9-4CDB-866F-6F775838027F}"/>
    <cellStyle name="PSHeading 6 19 3" xfId="4229" xr:uid="{B88EEAAA-4F51-41D8-A935-6F6E8B1E1C7F}"/>
    <cellStyle name="PSHeading 6 2" xfId="2118" xr:uid="{00000000-0005-0000-0000-00004F080000}"/>
    <cellStyle name="PSHeading 6 2 2" xfId="6304" xr:uid="{6DE49F93-A33C-4B24-A097-811384F88011}"/>
    <cellStyle name="PSHeading 6 2 3" xfId="4230" xr:uid="{53E6A2A6-C332-4154-91EA-1AC8D70A4722}"/>
    <cellStyle name="PSHeading 6 20" xfId="2119" xr:uid="{00000000-0005-0000-0000-000050080000}"/>
    <cellStyle name="PSHeading 6 20 2" xfId="6305" xr:uid="{FE21FD68-B40C-4E99-994F-7220EF68CB1F}"/>
    <cellStyle name="PSHeading 6 20 3" xfId="4231" xr:uid="{47ED74C9-02F7-4CAD-B2A0-A401F78E9FC8}"/>
    <cellStyle name="PSHeading 6 21" xfId="2120" xr:uid="{00000000-0005-0000-0000-000051080000}"/>
    <cellStyle name="PSHeading 6 21 2" xfId="6306" xr:uid="{3AF0A2E5-CF11-4292-A737-DA31FD51FE8E}"/>
    <cellStyle name="PSHeading 6 21 3" xfId="4232" xr:uid="{C06151D5-1166-4D7F-A1C9-82175854BCB9}"/>
    <cellStyle name="PSHeading 6 22" xfId="2121" xr:uid="{00000000-0005-0000-0000-000052080000}"/>
    <cellStyle name="PSHeading 6 22 2" xfId="6307" xr:uid="{186E784B-9CB5-4EA8-9D18-B82F973BC1A0}"/>
    <cellStyle name="PSHeading 6 22 3" xfId="4233" xr:uid="{C5F852F5-A846-455E-BCF8-BA60B3B54549}"/>
    <cellStyle name="PSHeading 6 23" xfId="2122" xr:uid="{00000000-0005-0000-0000-000053080000}"/>
    <cellStyle name="PSHeading 6 23 2" xfId="6308" xr:uid="{99E2FE94-3C24-4054-9464-9E743307F60E}"/>
    <cellStyle name="PSHeading 6 23 3" xfId="4234" xr:uid="{AE9031AE-6BA1-4831-A8AA-7248BC2827C3}"/>
    <cellStyle name="PSHeading 6 24" xfId="2123" xr:uid="{00000000-0005-0000-0000-000054080000}"/>
    <cellStyle name="PSHeading 6 24 2" xfId="6309" xr:uid="{26814364-3BC9-4991-B6AB-601D41CD02E1}"/>
    <cellStyle name="PSHeading 6 24 3" xfId="4235" xr:uid="{6FA248EF-D3AF-4F18-8040-C7C72D8B9430}"/>
    <cellStyle name="PSHeading 6 25" xfId="2124" xr:uid="{00000000-0005-0000-0000-000055080000}"/>
    <cellStyle name="PSHeading 6 25 2" xfId="6310" xr:uid="{DA394CCB-2D4A-40D3-AD9B-E36B2D227D50}"/>
    <cellStyle name="PSHeading 6 25 3" xfId="4236" xr:uid="{009E175C-E96D-485A-A3AA-A804EBA529AA}"/>
    <cellStyle name="PSHeading 6 26" xfId="2125" xr:uid="{00000000-0005-0000-0000-000056080000}"/>
    <cellStyle name="PSHeading 6 26 2" xfId="6311" xr:uid="{A81449C2-2ECE-4385-873F-FADDAA5E12F6}"/>
    <cellStyle name="PSHeading 6 26 3" xfId="4237" xr:uid="{B1D34979-A4F8-4A27-BB95-9969BA4F704B}"/>
    <cellStyle name="PSHeading 6 27" xfId="2126" xr:uid="{00000000-0005-0000-0000-000057080000}"/>
    <cellStyle name="PSHeading 6 27 2" xfId="6312" xr:uid="{23035603-1574-4E89-9F98-87A60F192388}"/>
    <cellStyle name="PSHeading 6 27 3" xfId="4238" xr:uid="{2ABC4F8B-719D-4A30-9846-A5DA8992D97D}"/>
    <cellStyle name="PSHeading 6 28" xfId="2127" xr:uid="{00000000-0005-0000-0000-000058080000}"/>
    <cellStyle name="PSHeading 6 28 2" xfId="6313" xr:uid="{CD3EE1D8-2F64-4AF6-83ED-7E744099D75F}"/>
    <cellStyle name="PSHeading 6 28 3" xfId="4239" xr:uid="{E56E0458-795C-4CB5-868D-B993ED1E8967}"/>
    <cellStyle name="PSHeading 6 29" xfId="2128" xr:uid="{00000000-0005-0000-0000-000059080000}"/>
    <cellStyle name="PSHeading 6 29 2" xfId="6314" xr:uid="{615F48DC-BA6A-4180-BD10-A38DFF187F3D}"/>
    <cellStyle name="PSHeading 6 29 3" xfId="4240" xr:uid="{FF9C0E1A-4BF2-4644-844B-D2283B8D9FDB}"/>
    <cellStyle name="PSHeading 6 3" xfId="2129" xr:uid="{00000000-0005-0000-0000-00005A080000}"/>
    <cellStyle name="PSHeading 6 3 2" xfId="6315" xr:uid="{705E39AD-DD87-4F22-9C3B-965FF92F6369}"/>
    <cellStyle name="PSHeading 6 3 3" xfId="4241" xr:uid="{1B5206A1-DA84-418E-8D7E-7C0E4ABE3334}"/>
    <cellStyle name="PSHeading 6 30" xfId="6293" xr:uid="{27849241-CB99-4A49-B9F2-1849F5F2516C}"/>
    <cellStyle name="PSHeading 6 31" xfId="4219" xr:uid="{640D3509-488D-4A6F-B755-B44565DB7329}"/>
    <cellStyle name="PSHeading 6 4" xfId="2130" xr:uid="{00000000-0005-0000-0000-00005B080000}"/>
    <cellStyle name="PSHeading 6 4 2" xfId="6316" xr:uid="{77DF687B-0215-4724-8C5D-161BC6CE8B1A}"/>
    <cellStyle name="PSHeading 6 4 3" xfId="4242" xr:uid="{72ED9BE1-1E12-48FC-B8DB-459B7CE62192}"/>
    <cellStyle name="PSHeading 6 5" xfId="2131" xr:uid="{00000000-0005-0000-0000-00005C080000}"/>
    <cellStyle name="PSHeading 6 5 2" xfId="6317" xr:uid="{301FD951-686D-4ACF-9D34-64ADE7CF4C73}"/>
    <cellStyle name="PSHeading 6 5 3" xfId="4243" xr:uid="{CB85DAC9-7DAA-461A-8958-0183E41A5BC3}"/>
    <cellStyle name="PSHeading 6 6" xfId="2132" xr:uid="{00000000-0005-0000-0000-00005D080000}"/>
    <cellStyle name="PSHeading 6 6 2" xfId="6318" xr:uid="{585D26B5-172C-4E67-BCB6-83764E3906B9}"/>
    <cellStyle name="PSHeading 6 6 3" xfId="4244" xr:uid="{D5488118-EC8E-4DF7-8E4D-AFF43776DD3F}"/>
    <cellStyle name="PSHeading 6 7" xfId="2133" xr:uid="{00000000-0005-0000-0000-00005E080000}"/>
    <cellStyle name="PSHeading 6 7 2" xfId="6319" xr:uid="{CEC70968-7EBE-4393-B691-67EB1747BD90}"/>
    <cellStyle name="PSHeading 6 7 3" xfId="4245" xr:uid="{B388CBB6-B7E0-478E-B36C-1EAAF2506AA8}"/>
    <cellStyle name="PSHeading 6 8" xfId="2134" xr:uid="{00000000-0005-0000-0000-00005F080000}"/>
    <cellStyle name="PSHeading 6 8 2" xfId="6320" xr:uid="{0FA124B0-FF74-445C-9160-39A67300B078}"/>
    <cellStyle name="PSHeading 6 8 3" xfId="4246" xr:uid="{F10EAD8A-5D8A-4394-BD83-B01D77C769FC}"/>
    <cellStyle name="PSHeading 6 9" xfId="2135" xr:uid="{00000000-0005-0000-0000-000060080000}"/>
    <cellStyle name="PSHeading 6 9 2" xfId="6321" xr:uid="{B9D6FE4B-F16C-4E26-936C-6B0DDA7C827D}"/>
    <cellStyle name="PSHeading 6 9 3" xfId="4247" xr:uid="{B2BC4081-D2D0-47F3-B989-A2214049EFA0}"/>
    <cellStyle name="PSHeading 7" xfId="6176" xr:uid="{4CD2D1AA-4B93-4F65-81FF-8B826BCE6C04}"/>
    <cellStyle name="PSHeading 8" xfId="4102" xr:uid="{2CBC9966-D66E-46D3-86C0-13D1A65BE6B5}"/>
    <cellStyle name="PSInt" xfId="2136" xr:uid="{00000000-0005-0000-0000-000061080000}"/>
    <cellStyle name="PSSpacer" xfId="2137" xr:uid="{00000000-0005-0000-0000-000062080000}"/>
    <cellStyle name="Red" xfId="2138" xr:uid="{00000000-0005-0000-0000-000063080000}"/>
    <cellStyle name="regstoresfromspecstores" xfId="2139" xr:uid="{00000000-0005-0000-0000-000064080000}"/>
    <cellStyle name="RevList" xfId="2140" xr:uid="{00000000-0005-0000-0000-000065080000}"/>
    <cellStyle name="Secondary" xfId="2141" xr:uid="{00000000-0005-0000-0000-000066080000}"/>
    <cellStyle name="Secondary %" xfId="2142" xr:uid="{00000000-0005-0000-0000-000067080000}"/>
    <cellStyle name="Secondary_2006 Enhanced- April" xfId="2143" xr:uid="{00000000-0005-0000-0000-000068080000}"/>
    <cellStyle name="SHADEDSTORES" xfId="2144" xr:uid="{00000000-0005-0000-0000-000069080000}"/>
    <cellStyle name="SHADEDSTORES 2" xfId="6322" xr:uid="{34D8F58C-6F24-43ED-A41E-A8A22AD2F2C5}"/>
    <cellStyle name="SHADEDSTORES 3" xfId="4248" xr:uid="{F292BF97-B4C9-4EE7-B3A1-06BB3E3AAFF1}"/>
    <cellStyle name="specstores" xfId="2145" xr:uid="{00000000-0005-0000-0000-00006A080000}"/>
    <cellStyle name="SPOl" xfId="2146" xr:uid="{00000000-0005-0000-0000-00006B080000}"/>
    <cellStyle name="Standard_pldt" xfId="2147" xr:uid="{00000000-0005-0000-0000-00006C080000}"/>
    <cellStyle name="stdlayout" xfId="2148" xr:uid="{00000000-0005-0000-0000-00006D080000}"/>
    <cellStyle name="style" xfId="2149" xr:uid="{00000000-0005-0000-0000-00006E080000}"/>
    <cellStyle name="style1" xfId="2150" xr:uid="{00000000-0005-0000-0000-00006F080000}"/>
    <cellStyle name="style2" xfId="2151" xr:uid="{00000000-0005-0000-0000-000070080000}"/>
    <cellStyle name="Subtotal" xfId="2152" xr:uid="{00000000-0005-0000-0000-000071080000}"/>
    <cellStyle name="taples Plaza" xfId="2153" xr:uid="{00000000-0005-0000-0000-000072080000}"/>
    <cellStyle name="taples Plaza 2" xfId="2154" xr:uid="{00000000-0005-0000-0000-000073080000}"/>
    <cellStyle name="taples Plaza 2 10" xfId="2155" xr:uid="{00000000-0005-0000-0000-000074080000}"/>
    <cellStyle name="taples Plaza 2 10 2" xfId="6325" xr:uid="{A1DB943C-7EE9-44C8-9A60-008BC2D9B192}"/>
    <cellStyle name="taples Plaza 2 10 3" xfId="4251" xr:uid="{71702DDE-11CF-48E8-B9C6-ACEC8A9043BA}"/>
    <cellStyle name="taples Plaza 2 11" xfId="2156" xr:uid="{00000000-0005-0000-0000-000075080000}"/>
    <cellStyle name="taples Plaza 2 11 2" xfId="6326" xr:uid="{33689BB7-19D3-4F18-876B-DD20285ADFD7}"/>
    <cellStyle name="taples Plaza 2 11 3" xfId="4252" xr:uid="{B6B561D7-6360-48A9-919E-7E51D1916FBC}"/>
    <cellStyle name="taples Plaza 2 12" xfId="2157" xr:uid="{00000000-0005-0000-0000-000076080000}"/>
    <cellStyle name="taples Plaza 2 12 2" xfId="6327" xr:uid="{BAFC36D5-FF3D-4658-AF1F-C45A0B94728F}"/>
    <cellStyle name="taples Plaza 2 12 3" xfId="4253" xr:uid="{31A8BD73-0F4B-44CD-8262-30C3EF562B17}"/>
    <cellStyle name="taples Plaza 2 13" xfId="2158" xr:uid="{00000000-0005-0000-0000-000077080000}"/>
    <cellStyle name="taples Plaza 2 13 2" xfId="6328" xr:uid="{BF963A3E-AAF9-4662-8450-9A2F51A41580}"/>
    <cellStyle name="taples Plaza 2 13 3" xfId="4254" xr:uid="{7AE677F0-433B-44F9-9D57-8F23F82A7EDB}"/>
    <cellStyle name="taples Plaza 2 14" xfId="2159" xr:uid="{00000000-0005-0000-0000-000078080000}"/>
    <cellStyle name="taples Plaza 2 14 2" xfId="6329" xr:uid="{A68DAB42-B460-4718-BC54-0EBE168FAD50}"/>
    <cellStyle name="taples Plaza 2 14 3" xfId="4255" xr:uid="{1AB88E7D-522D-436E-9CEB-0C599460372A}"/>
    <cellStyle name="taples Plaza 2 15" xfId="2160" xr:uid="{00000000-0005-0000-0000-000079080000}"/>
    <cellStyle name="taples Plaza 2 15 2" xfId="6330" xr:uid="{0B0AAAC9-5AFC-413E-B77E-B9ACCB1115DD}"/>
    <cellStyle name="taples Plaza 2 15 3" xfId="4256" xr:uid="{ECD9B9F9-A651-4AEF-BFF4-ADA4DBE36C36}"/>
    <cellStyle name="taples Plaza 2 16" xfId="2161" xr:uid="{00000000-0005-0000-0000-00007A080000}"/>
    <cellStyle name="taples Plaza 2 16 2" xfId="6331" xr:uid="{59AB6F62-3B62-4DAC-BAC4-79F663BD7FD3}"/>
    <cellStyle name="taples Plaza 2 16 3" xfId="4257" xr:uid="{74B9FBA4-45BE-421A-B421-31ADDB0B9175}"/>
    <cellStyle name="taples Plaza 2 17" xfId="2162" xr:uid="{00000000-0005-0000-0000-00007B080000}"/>
    <cellStyle name="taples Plaza 2 17 2" xfId="6332" xr:uid="{3E12AEFC-9E79-4445-914A-E9FD57FD8756}"/>
    <cellStyle name="taples Plaza 2 17 3" xfId="4258" xr:uid="{77CC502C-7B98-4CBA-83DE-0D784763FCB8}"/>
    <cellStyle name="taples Plaza 2 18" xfId="2163" xr:uid="{00000000-0005-0000-0000-00007C080000}"/>
    <cellStyle name="taples Plaza 2 18 2" xfId="6333" xr:uid="{A479C657-E8FF-46A8-BEE2-90BEA6C9822E}"/>
    <cellStyle name="taples Plaza 2 18 3" xfId="4259" xr:uid="{480177C5-DC5D-411A-8600-BA3AB120A1FE}"/>
    <cellStyle name="taples Plaza 2 19" xfId="2164" xr:uid="{00000000-0005-0000-0000-00007D080000}"/>
    <cellStyle name="taples Plaza 2 19 2" xfId="6334" xr:uid="{6A32C1E0-DB93-47E5-8410-5879C7EDF357}"/>
    <cellStyle name="taples Plaza 2 19 3" xfId="4260" xr:uid="{A36143AF-A5C6-4497-A496-D0B7A01B0A9E}"/>
    <cellStyle name="taples Plaza 2 2" xfId="2165" xr:uid="{00000000-0005-0000-0000-00007E080000}"/>
    <cellStyle name="taples Plaza 2 2 2" xfId="6335" xr:uid="{21C9B99E-D259-4025-9A83-C8861C2BC3D8}"/>
    <cellStyle name="taples Plaza 2 2 3" xfId="4261" xr:uid="{20248FB4-4019-47C2-9AF0-96258092DE7E}"/>
    <cellStyle name="taples Plaza 2 20" xfId="2166" xr:uid="{00000000-0005-0000-0000-00007F080000}"/>
    <cellStyle name="taples Plaza 2 20 2" xfId="6336" xr:uid="{ACD57E6F-7ECA-46F0-A7DA-EF99891AC02F}"/>
    <cellStyle name="taples Plaza 2 20 3" xfId="4262" xr:uid="{D05C9D53-50C4-41BA-A7EF-6F020CC99009}"/>
    <cellStyle name="taples Plaza 2 21" xfId="2167" xr:uid="{00000000-0005-0000-0000-000080080000}"/>
    <cellStyle name="taples Plaza 2 21 2" xfId="6337" xr:uid="{85901C4A-26D0-4E37-A0B4-7587C2ADE6F2}"/>
    <cellStyle name="taples Plaza 2 21 3" xfId="4263" xr:uid="{EF22BE9D-6EA2-4F59-9A39-98B5269E3206}"/>
    <cellStyle name="taples Plaza 2 22" xfId="2168" xr:uid="{00000000-0005-0000-0000-000081080000}"/>
    <cellStyle name="taples Plaza 2 22 2" xfId="6338" xr:uid="{9F833B49-41B1-450D-BACB-4AB4E440E9A2}"/>
    <cellStyle name="taples Plaza 2 22 3" xfId="4264" xr:uid="{66DC3405-6E26-41CF-BB9D-B69A13355132}"/>
    <cellStyle name="taples Plaza 2 23" xfId="2169" xr:uid="{00000000-0005-0000-0000-000082080000}"/>
    <cellStyle name="taples Plaza 2 23 2" xfId="6339" xr:uid="{BE274C28-31FD-4F1C-A3D5-C98A7BAF67DE}"/>
    <cellStyle name="taples Plaza 2 23 3" xfId="4265" xr:uid="{DCC935A7-3888-4C5D-B0B9-2E41382F5321}"/>
    <cellStyle name="taples Plaza 2 24" xfId="2170" xr:uid="{00000000-0005-0000-0000-000083080000}"/>
    <cellStyle name="taples Plaza 2 24 2" xfId="6340" xr:uid="{7CF0A789-741B-4303-B289-5C8C8988F688}"/>
    <cellStyle name="taples Plaza 2 24 3" xfId="4266" xr:uid="{3C721999-CAB3-456F-892E-AEF241CFE404}"/>
    <cellStyle name="taples Plaza 2 25" xfId="2171" xr:uid="{00000000-0005-0000-0000-000084080000}"/>
    <cellStyle name="taples Plaza 2 25 2" xfId="6341" xr:uid="{EF3DE962-C357-4DE2-BCBF-2A39FD48D0B6}"/>
    <cellStyle name="taples Plaza 2 25 3" xfId="4267" xr:uid="{90396E74-ED0E-4542-8B82-F20DA0660435}"/>
    <cellStyle name="taples Plaza 2 26" xfId="2172" xr:uid="{00000000-0005-0000-0000-000085080000}"/>
    <cellStyle name="taples Plaza 2 26 2" xfId="6342" xr:uid="{37AD477C-5AA8-4428-AA20-CCED68A21573}"/>
    <cellStyle name="taples Plaza 2 26 3" xfId="4268" xr:uid="{5C2FD859-EABE-4678-A5A2-EF44227ECF9E}"/>
    <cellStyle name="taples Plaza 2 27" xfId="2173" xr:uid="{00000000-0005-0000-0000-000086080000}"/>
    <cellStyle name="taples Plaza 2 27 2" xfId="6343" xr:uid="{05070188-C1DF-4351-856C-B37509407CF7}"/>
    <cellStyle name="taples Plaza 2 27 3" xfId="4269" xr:uid="{B85BD3F7-F673-40E6-BF0C-24E19843E773}"/>
    <cellStyle name="taples Plaza 2 28" xfId="2174" xr:uid="{00000000-0005-0000-0000-000087080000}"/>
    <cellStyle name="taples Plaza 2 28 2" xfId="6344" xr:uid="{B28BFBB6-0549-48C9-B776-535965E29151}"/>
    <cellStyle name="taples Plaza 2 28 3" xfId="4270" xr:uid="{2AEB1B9C-486E-4167-B6E5-F0C4603FCEB8}"/>
    <cellStyle name="taples Plaza 2 29" xfId="2175" xr:uid="{00000000-0005-0000-0000-000088080000}"/>
    <cellStyle name="taples Plaza 2 29 2" xfId="6345" xr:uid="{2018A3B5-975D-4ACA-BCCA-35B98EB4FA4A}"/>
    <cellStyle name="taples Plaza 2 29 3" xfId="4271" xr:uid="{0FDF1790-EBDB-4BB4-9F2B-544A23DE5C95}"/>
    <cellStyle name="taples Plaza 2 3" xfId="2176" xr:uid="{00000000-0005-0000-0000-000089080000}"/>
    <cellStyle name="taples Plaza 2 3 2" xfId="6346" xr:uid="{F3708649-51AA-4DB6-983C-1266502C8D9D}"/>
    <cellStyle name="taples Plaza 2 3 3" xfId="4272" xr:uid="{22A22B36-0433-43FA-A06A-B66E3005D014}"/>
    <cellStyle name="taples Plaza 2 30" xfId="6324" xr:uid="{AC8AEAC6-FB3C-45A4-B499-68B68D69B0A8}"/>
    <cellStyle name="taples Plaza 2 31" xfId="4250" xr:uid="{759993A2-2F29-4D1B-A0BE-0D4159F51C22}"/>
    <cellStyle name="taples Plaza 2 4" xfId="2177" xr:uid="{00000000-0005-0000-0000-00008A080000}"/>
    <cellStyle name="taples Plaza 2 4 2" xfId="6347" xr:uid="{C09A9B9A-F9CC-480E-BA1C-19299183D679}"/>
    <cellStyle name="taples Plaza 2 4 3" xfId="4273" xr:uid="{898184B1-08CC-431A-9108-7992E51B0D87}"/>
    <cellStyle name="taples Plaza 2 5" xfId="2178" xr:uid="{00000000-0005-0000-0000-00008B080000}"/>
    <cellStyle name="taples Plaza 2 5 2" xfId="6348" xr:uid="{78B9CA18-8D31-4A78-AFD1-E9453FF7D8A2}"/>
    <cellStyle name="taples Plaza 2 5 3" xfId="4274" xr:uid="{2A0CB8DC-F0B6-480E-A98D-7EC1AC739E7A}"/>
    <cellStyle name="taples Plaza 2 6" xfId="2179" xr:uid="{00000000-0005-0000-0000-00008C080000}"/>
    <cellStyle name="taples Plaza 2 6 2" xfId="6349" xr:uid="{DEA6ED5C-1878-4271-9951-DB268819D83B}"/>
    <cellStyle name="taples Plaza 2 6 3" xfId="4275" xr:uid="{EA543BD8-7441-4AF5-BE9F-6F1F4F62FDC1}"/>
    <cellStyle name="taples Plaza 2 7" xfId="2180" xr:uid="{00000000-0005-0000-0000-00008D080000}"/>
    <cellStyle name="taples Plaza 2 7 2" xfId="6350" xr:uid="{5BE6658A-E09B-4F3A-88EA-F3FCD6135769}"/>
    <cellStyle name="taples Plaza 2 7 3" xfId="4276" xr:uid="{31B501C7-B0F0-48CA-AD58-AA77BBA79868}"/>
    <cellStyle name="taples Plaza 2 8" xfId="2181" xr:uid="{00000000-0005-0000-0000-00008E080000}"/>
    <cellStyle name="taples Plaza 2 8 2" xfId="6351" xr:uid="{9C85670F-DD30-4E16-A4BA-F24196F04BF9}"/>
    <cellStyle name="taples Plaza 2 8 3" xfId="4277" xr:uid="{C5CD212E-8895-408C-BFD5-E071B0BC3CF8}"/>
    <cellStyle name="taples Plaza 2 9" xfId="2182" xr:uid="{00000000-0005-0000-0000-00008F080000}"/>
    <cellStyle name="taples Plaza 2 9 2" xfId="6352" xr:uid="{9DC2A77D-DB5D-41EE-86D6-2650C5DC2544}"/>
    <cellStyle name="taples Plaza 2 9 3" xfId="4278" xr:uid="{84A842CF-37D8-485C-9CEF-FC434DB13AB0}"/>
    <cellStyle name="taples Plaza 3" xfId="2183" xr:uid="{00000000-0005-0000-0000-000090080000}"/>
    <cellStyle name="taples Plaza 3 10" xfId="2184" xr:uid="{00000000-0005-0000-0000-000091080000}"/>
    <cellStyle name="taples Plaza 3 10 2" xfId="6354" xr:uid="{6757C295-3E3C-4E4F-ACEF-7E3C67E2C158}"/>
    <cellStyle name="taples Plaza 3 10 3" xfId="4280" xr:uid="{B7A0338B-6712-4323-87A9-81B02F6C19D8}"/>
    <cellStyle name="taples Plaza 3 11" xfId="2185" xr:uid="{00000000-0005-0000-0000-000092080000}"/>
    <cellStyle name="taples Plaza 3 11 2" xfId="6355" xr:uid="{B9DBB5F0-9581-4789-8B70-C3100EF77A6D}"/>
    <cellStyle name="taples Plaza 3 11 3" xfId="4281" xr:uid="{C3D85AE3-9932-4B73-97AC-462D435B5E64}"/>
    <cellStyle name="taples Plaza 3 12" xfId="2186" xr:uid="{00000000-0005-0000-0000-000093080000}"/>
    <cellStyle name="taples Plaza 3 12 2" xfId="6356" xr:uid="{C2FFFE74-0D02-4031-B685-BE49CAA2C607}"/>
    <cellStyle name="taples Plaza 3 12 3" xfId="4282" xr:uid="{CE798F23-2E4A-487B-AB48-0A42E09BAF20}"/>
    <cellStyle name="taples Plaza 3 13" xfId="2187" xr:uid="{00000000-0005-0000-0000-000094080000}"/>
    <cellStyle name="taples Plaza 3 13 2" xfId="6357" xr:uid="{9D022FDB-6A25-4857-B11D-4F86663968C8}"/>
    <cellStyle name="taples Plaza 3 13 3" xfId="4283" xr:uid="{7797AC62-D626-47A8-B2B7-96885053AA50}"/>
    <cellStyle name="taples Plaza 3 14" xfId="2188" xr:uid="{00000000-0005-0000-0000-000095080000}"/>
    <cellStyle name="taples Plaza 3 14 2" xfId="6358" xr:uid="{4D3C60D2-1437-4B39-B534-3F76750A2CEA}"/>
    <cellStyle name="taples Plaza 3 14 3" xfId="4284" xr:uid="{012EA05B-3889-4E56-A91A-764DD14F0839}"/>
    <cellStyle name="taples Plaza 3 15" xfId="2189" xr:uid="{00000000-0005-0000-0000-000096080000}"/>
    <cellStyle name="taples Plaza 3 15 2" xfId="6359" xr:uid="{01282A8E-DC69-499C-89A9-E88D3E29C38D}"/>
    <cellStyle name="taples Plaza 3 15 3" xfId="4285" xr:uid="{AD0D3782-E5B3-47ED-AD52-E68409CC9988}"/>
    <cellStyle name="taples Plaza 3 16" xfId="2190" xr:uid="{00000000-0005-0000-0000-000097080000}"/>
    <cellStyle name="taples Plaza 3 16 2" xfId="6360" xr:uid="{090385A9-1C7E-4C77-A2CA-B9EFA7B19286}"/>
    <cellStyle name="taples Plaza 3 16 3" xfId="4286" xr:uid="{475DB67F-6EEB-48CD-AFDA-B45ADCF079F0}"/>
    <cellStyle name="taples Plaza 3 17" xfId="2191" xr:uid="{00000000-0005-0000-0000-000098080000}"/>
    <cellStyle name="taples Plaza 3 17 2" xfId="6361" xr:uid="{F81EA3C2-CEC3-4B49-9920-A799B060AE5E}"/>
    <cellStyle name="taples Plaza 3 17 3" xfId="4287" xr:uid="{E8FC60CF-1FBC-4452-BB8C-2ECC8938B43C}"/>
    <cellStyle name="taples Plaza 3 18" xfId="2192" xr:uid="{00000000-0005-0000-0000-000099080000}"/>
    <cellStyle name="taples Plaza 3 18 2" xfId="6362" xr:uid="{209F5A59-E35C-45D3-BA1A-6A5A48CC235C}"/>
    <cellStyle name="taples Plaza 3 18 3" xfId="4288" xr:uid="{D1F4E1A4-2D1E-4AA8-B91A-937E57AEADA5}"/>
    <cellStyle name="taples Plaza 3 19" xfId="2193" xr:uid="{00000000-0005-0000-0000-00009A080000}"/>
    <cellStyle name="taples Plaza 3 19 2" xfId="6363" xr:uid="{A2CFC0C6-1CE0-4227-A67E-9493D9600318}"/>
    <cellStyle name="taples Plaza 3 19 3" xfId="4289" xr:uid="{EA11CEAA-6C72-430F-A4D7-BC11A509195F}"/>
    <cellStyle name="taples Plaza 3 2" xfId="2194" xr:uid="{00000000-0005-0000-0000-00009B080000}"/>
    <cellStyle name="taples Plaza 3 2 2" xfId="6364" xr:uid="{D5FCAD61-92C4-4B8E-AE1A-D7AFF31E058F}"/>
    <cellStyle name="taples Plaza 3 2 3" xfId="4290" xr:uid="{2A2D25D6-0151-449F-889D-5BD3F56F585B}"/>
    <cellStyle name="taples Plaza 3 20" xfId="2195" xr:uid="{00000000-0005-0000-0000-00009C080000}"/>
    <cellStyle name="taples Plaza 3 20 2" xfId="6365" xr:uid="{11A66949-5254-4923-88FF-263BE54730FD}"/>
    <cellStyle name="taples Plaza 3 20 3" xfId="4291" xr:uid="{AFD690D4-D40E-4933-A399-380CA2938084}"/>
    <cellStyle name="taples Plaza 3 21" xfId="2196" xr:uid="{00000000-0005-0000-0000-00009D080000}"/>
    <cellStyle name="taples Plaza 3 21 2" xfId="6366" xr:uid="{FD16644F-2F3D-4139-90DC-A9CD7B6D8B74}"/>
    <cellStyle name="taples Plaza 3 21 3" xfId="4292" xr:uid="{55182022-AFE6-4D05-8B7A-5523D6DBEBA9}"/>
    <cellStyle name="taples Plaza 3 22" xfId="2197" xr:uid="{00000000-0005-0000-0000-00009E080000}"/>
    <cellStyle name="taples Plaza 3 22 2" xfId="6367" xr:uid="{49D9E42A-0119-4220-9892-8265206F376D}"/>
    <cellStyle name="taples Plaza 3 22 3" xfId="4293" xr:uid="{5B532FBE-9054-4469-BB18-8C1E05EDF4E1}"/>
    <cellStyle name="taples Plaza 3 23" xfId="2198" xr:uid="{00000000-0005-0000-0000-00009F080000}"/>
    <cellStyle name="taples Plaza 3 23 2" xfId="6368" xr:uid="{162EA83D-7A2E-45D4-A14E-D99F96F3A65D}"/>
    <cellStyle name="taples Plaza 3 23 3" xfId="4294" xr:uid="{2ED31A76-776E-4E72-B4AF-7D9192294E0E}"/>
    <cellStyle name="taples Plaza 3 24" xfId="2199" xr:uid="{00000000-0005-0000-0000-0000A0080000}"/>
    <cellStyle name="taples Plaza 3 24 2" xfId="6369" xr:uid="{11364437-3C08-4579-A6F5-C9009819E636}"/>
    <cellStyle name="taples Plaza 3 24 3" xfId="4295" xr:uid="{1266BB49-A864-43A5-B279-EC339D841A9E}"/>
    <cellStyle name="taples Plaza 3 25" xfId="2200" xr:uid="{00000000-0005-0000-0000-0000A1080000}"/>
    <cellStyle name="taples Plaza 3 25 2" xfId="6370" xr:uid="{F4A6066F-198F-4E4A-B9FC-B6A3D950617C}"/>
    <cellStyle name="taples Plaza 3 25 3" xfId="4296" xr:uid="{92E7C61C-89BF-40D9-A366-6FF933678AAA}"/>
    <cellStyle name="taples Plaza 3 26" xfId="2201" xr:uid="{00000000-0005-0000-0000-0000A2080000}"/>
    <cellStyle name="taples Plaza 3 26 2" xfId="6371" xr:uid="{1A6DDE3C-F128-476D-8134-7B7A6796C567}"/>
    <cellStyle name="taples Plaza 3 26 3" xfId="4297" xr:uid="{95C4DABC-8F62-4E6B-ADFA-4E44BAFFF739}"/>
    <cellStyle name="taples Plaza 3 27" xfId="2202" xr:uid="{00000000-0005-0000-0000-0000A3080000}"/>
    <cellStyle name="taples Plaza 3 27 2" xfId="6372" xr:uid="{A7A88488-3F0D-4E77-BD23-C1ED26B1A3A2}"/>
    <cellStyle name="taples Plaza 3 27 3" xfId="4298" xr:uid="{7314086C-4A26-4398-9F88-460C80A7DCCD}"/>
    <cellStyle name="taples Plaza 3 28" xfId="2203" xr:uid="{00000000-0005-0000-0000-0000A4080000}"/>
    <cellStyle name="taples Plaza 3 28 2" xfId="6373" xr:uid="{4F806813-143E-4EF1-B9D9-694F8E98D577}"/>
    <cellStyle name="taples Plaza 3 28 3" xfId="4299" xr:uid="{203C3932-482C-4052-ABF3-943658BF4781}"/>
    <cellStyle name="taples Plaza 3 29" xfId="2204" xr:uid="{00000000-0005-0000-0000-0000A5080000}"/>
    <cellStyle name="taples Plaza 3 29 2" xfId="6374" xr:uid="{AB49B970-DA4F-410B-A66C-BDD70CE36D21}"/>
    <cellStyle name="taples Plaza 3 29 3" xfId="4300" xr:uid="{626E0953-8B90-4FF6-8E97-3641F9CED7A4}"/>
    <cellStyle name="taples Plaza 3 3" xfId="2205" xr:uid="{00000000-0005-0000-0000-0000A6080000}"/>
    <cellStyle name="taples Plaza 3 3 2" xfId="6375" xr:uid="{5EA0BD38-32CD-4B26-B88B-18CFEE53B685}"/>
    <cellStyle name="taples Plaza 3 3 3" xfId="4301" xr:uid="{15119FFF-3CCE-4C3D-B355-E214D5094BF7}"/>
    <cellStyle name="taples Plaza 3 30" xfId="6353" xr:uid="{1E12C815-E869-4C1E-9D10-C6961D398D69}"/>
    <cellStyle name="taples Plaza 3 31" xfId="4279" xr:uid="{FDA4BC07-7CFF-4B4B-9259-30405942FB46}"/>
    <cellStyle name="taples Plaza 3 4" xfId="2206" xr:uid="{00000000-0005-0000-0000-0000A7080000}"/>
    <cellStyle name="taples Plaza 3 4 2" xfId="6376" xr:uid="{19F5D0ED-182A-40D9-8A21-C7DFFBC95606}"/>
    <cellStyle name="taples Plaza 3 4 3" xfId="4302" xr:uid="{80199B1B-54CF-43E1-8C69-B94CF00E866C}"/>
    <cellStyle name="taples Plaza 3 5" xfId="2207" xr:uid="{00000000-0005-0000-0000-0000A8080000}"/>
    <cellStyle name="taples Plaza 3 5 2" xfId="6377" xr:uid="{4206A5F1-86CB-4A35-92F5-C8920E8F07FD}"/>
    <cellStyle name="taples Plaza 3 5 3" xfId="4303" xr:uid="{F0624726-807F-4F5B-A5C8-F7D4963B941B}"/>
    <cellStyle name="taples Plaza 3 6" xfId="2208" xr:uid="{00000000-0005-0000-0000-0000A9080000}"/>
    <cellStyle name="taples Plaza 3 6 2" xfId="6378" xr:uid="{9DF88132-9DA3-4D39-97A7-8F9665571872}"/>
    <cellStyle name="taples Plaza 3 6 3" xfId="4304" xr:uid="{DA8E4858-F530-433F-8F0F-345460C54797}"/>
    <cellStyle name="taples Plaza 3 7" xfId="2209" xr:uid="{00000000-0005-0000-0000-0000AA080000}"/>
    <cellStyle name="taples Plaza 3 7 2" xfId="6379" xr:uid="{EC4BD0AB-9C9E-4BFC-AC69-ECC1CDD19431}"/>
    <cellStyle name="taples Plaza 3 7 3" xfId="4305" xr:uid="{822BA20B-4EE4-404C-BCF3-B4E8F65C8304}"/>
    <cellStyle name="taples Plaza 3 8" xfId="2210" xr:uid="{00000000-0005-0000-0000-0000AB080000}"/>
    <cellStyle name="taples Plaza 3 8 2" xfId="6380" xr:uid="{00167E31-85CF-4B6D-A6B8-85C500D7A1A2}"/>
    <cellStyle name="taples Plaza 3 8 3" xfId="4306" xr:uid="{B43AEFCE-84EE-4D2D-A2F7-37B58EE84497}"/>
    <cellStyle name="taples Plaza 3 9" xfId="2211" xr:uid="{00000000-0005-0000-0000-0000AC080000}"/>
    <cellStyle name="taples Plaza 3 9 2" xfId="6381" xr:uid="{0FDE108F-C8DC-4930-970E-8200E8D5C10D}"/>
    <cellStyle name="taples Plaza 3 9 3" xfId="4307" xr:uid="{C63DCC2D-FF19-4F09-A8F9-DD13665F2C54}"/>
    <cellStyle name="taples Plaza 4" xfId="2212" xr:uid="{00000000-0005-0000-0000-0000AD080000}"/>
    <cellStyle name="taples Plaza 4 10" xfId="2213" xr:uid="{00000000-0005-0000-0000-0000AE080000}"/>
    <cellStyle name="taples Plaza 4 10 2" xfId="6383" xr:uid="{11A6AB42-D531-4483-A917-216847206726}"/>
    <cellStyle name="taples Plaza 4 10 3" xfId="4309" xr:uid="{405E075F-3C4E-4CA9-B431-62DF808EEA1E}"/>
    <cellStyle name="taples Plaza 4 11" xfId="2214" xr:uid="{00000000-0005-0000-0000-0000AF080000}"/>
    <cellStyle name="taples Plaza 4 11 2" xfId="6384" xr:uid="{3ED62FE8-EEBF-4DAE-9B29-29E76D80F5B3}"/>
    <cellStyle name="taples Plaza 4 11 3" xfId="4310" xr:uid="{10D3AF9F-A243-43E0-85D6-2EB63B9D8423}"/>
    <cellStyle name="taples Plaza 4 12" xfId="2215" xr:uid="{00000000-0005-0000-0000-0000B0080000}"/>
    <cellStyle name="taples Plaza 4 12 2" xfId="6385" xr:uid="{3FB1D8DB-7F3C-4F37-982C-4FAEFFE542B1}"/>
    <cellStyle name="taples Plaza 4 12 3" xfId="4311" xr:uid="{B2BC4C23-F650-403F-A6D6-5B9A6574BC26}"/>
    <cellStyle name="taples Plaza 4 13" xfId="2216" xr:uid="{00000000-0005-0000-0000-0000B1080000}"/>
    <cellStyle name="taples Plaza 4 13 2" xfId="6386" xr:uid="{358DE714-376D-44EB-825B-1CD61D2A0F1F}"/>
    <cellStyle name="taples Plaza 4 13 3" xfId="4312" xr:uid="{4BE9E262-2637-47AE-BEE0-9EF4A6BE939D}"/>
    <cellStyle name="taples Plaza 4 14" xfId="2217" xr:uid="{00000000-0005-0000-0000-0000B2080000}"/>
    <cellStyle name="taples Plaza 4 14 2" xfId="6387" xr:uid="{D94C6EFF-486D-4A2B-BD76-83C2BBA464D7}"/>
    <cellStyle name="taples Plaza 4 14 3" xfId="4313" xr:uid="{9031759F-05F0-4D3B-9FFA-2F12EA57BDE9}"/>
    <cellStyle name="taples Plaza 4 15" xfId="2218" xr:uid="{00000000-0005-0000-0000-0000B3080000}"/>
    <cellStyle name="taples Plaza 4 15 2" xfId="6388" xr:uid="{C128C79F-1C04-48C1-8D73-62DC81EDFE51}"/>
    <cellStyle name="taples Plaza 4 15 3" xfId="4314" xr:uid="{42894EA1-0F05-4CC4-B4AE-919E4B3E5057}"/>
    <cellStyle name="taples Plaza 4 16" xfId="2219" xr:uid="{00000000-0005-0000-0000-0000B4080000}"/>
    <cellStyle name="taples Plaza 4 16 2" xfId="6389" xr:uid="{68899CE9-2AC0-48F0-9BF3-E57B78CA7472}"/>
    <cellStyle name="taples Plaza 4 16 3" xfId="4315" xr:uid="{3CE7AE10-8BB7-43EA-AC97-A781E913EDC4}"/>
    <cellStyle name="taples Plaza 4 17" xfId="2220" xr:uid="{00000000-0005-0000-0000-0000B5080000}"/>
    <cellStyle name="taples Plaza 4 17 2" xfId="6390" xr:uid="{535E698F-0D2A-4901-ADEE-930553FD5BB3}"/>
    <cellStyle name="taples Plaza 4 17 3" xfId="4316" xr:uid="{58FC5DD5-7C1D-449A-9CE7-22FE6CA867C2}"/>
    <cellStyle name="taples Plaza 4 18" xfId="2221" xr:uid="{00000000-0005-0000-0000-0000B6080000}"/>
    <cellStyle name="taples Plaza 4 18 2" xfId="6391" xr:uid="{43C7E111-15D5-47E3-949D-50B3B29E0AE2}"/>
    <cellStyle name="taples Plaza 4 18 3" xfId="4317" xr:uid="{4C068E67-6B1C-4E7B-B5BD-D3504B425EE9}"/>
    <cellStyle name="taples Plaza 4 19" xfId="2222" xr:uid="{00000000-0005-0000-0000-0000B7080000}"/>
    <cellStyle name="taples Plaza 4 19 2" xfId="6392" xr:uid="{02E180A5-BB8D-438A-A027-038F97591AA7}"/>
    <cellStyle name="taples Plaza 4 19 3" xfId="4318" xr:uid="{9F5D6E0F-EB07-4E60-B28E-9ADFD5063CDD}"/>
    <cellStyle name="taples Plaza 4 2" xfId="2223" xr:uid="{00000000-0005-0000-0000-0000B8080000}"/>
    <cellStyle name="taples Plaza 4 2 2" xfId="6393" xr:uid="{FED544DD-6BFE-4878-B7A0-530E56EF3E54}"/>
    <cellStyle name="taples Plaza 4 2 3" xfId="4319" xr:uid="{1564568A-AF26-4B78-9521-AA7527A922C5}"/>
    <cellStyle name="taples Plaza 4 20" xfId="2224" xr:uid="{00000000-0005-0000-0000-0000B9080000}"/>
    <cellStyle name="taples Plaza 4 20 2" xfId="6394" xr:uid="{8FE32AD5-678B-4804-B38B-FEFC3777975B}"/>
    <cellStyle name="taples Plaza 4 20 3" xfId="4320" xr:uid="{6F2C841C-D171-466A-B5FF-C1C1FBE174E8}"/>
    <cellStyle name="taples Plaza 4 21" xfId="2225" xr:uid="{00000000-0005-0000-0000-0000BA080000}"/>
    <cellStyle name="taples Plaza 4 21 2" xfId="6395" xr:uid="{B8441C76-F72B-4E08-9E25-85824A521A55}"/>
    <cellStyle name="taples Plaza 4 21 3" xfId="4321" xr:uid="{7B895E5D-DBFA-4B4C-B811-491D74A6F7EB}"/>
    <cellStyle name="taples Plaza 4 22" xfId="2226" xr:uid="{00000000-0005-0000-0000-0000BB080000}"/>
    <cellStyle name="taples Plaza 4 22 2" xfId="6396" xr:uid="{248F21EA-4AAF-47AB-89F9-4185FF9863E7}"/>
    <cellStyle name="taples Plaza 4 22 3" xfId="4322" xr:uid="{1BB3B4B8-5268-452C-8B89-5555183EB5E4}"/>
    <cellStyle name="taples Plaza 4 23" xfId="2227" xr:uid="{00000000-0005-0000-0000-0000BC080000}"/>
    <cellStyle name="taples Plaza 4 23 2" xfId="6397" xr:uid="{4B68A319-3FC9-42FF-8F0B-89C5C07A57DF}"/>
    <cellStyle name="taples Plaza 4 23 3" xfId="4323" xr:uid="{75DCC3D1-F931-45FA-848A-941611E60DDA}"/>
    <cellStyle name="taples Plaza 4 24" xfId="2228" xr:uid="{00000000-0005-0000-0000-0000BD080000}"/>
    <cellStyle name="taples Plaza 4 24 2" xfId="6398" xr:uid="{D91DE52B-4522-4A2F-ABA6-BFB688611178}"/>
    <cellStyle name="taples Plaza 4 24 3" xfId="4324" xr:uid="{59DE5DD4-B5BA-420C-9B11-B366135E5A05}"/>
    <cellStyle name="taples Plaza 4 25" xfId="2229" xr:uid="{00000000-0005-0000-0000-0000BE080000}"/>
    <cellStyle name="taples Plaza 4 25 2" xfId="6399" xr:uid="{A15DF7A4-5788-42C0-A368-1296C3C63621}"/>
    <cellStyle name="taples Plaza 4 25 3" xfId="4325" xr:uid="{C6423C6A-FDDF-42F1-9BD3-239AD6632657}"/>
    <cellStyle name="taples Plaza 4 26" xfId="2230" xr:uid="{00000000-0005-0000-0000-0000BF080000}"/>
    <cellStyle name="taples Plaza 4 26 2" xfId="6400" xr:uid="{9AD02034-6EE6-4FCF-894F-7DD5CC0E3644}"/>
    <cellStyle name="taples Plaza 4 26 3" xfId="4326" xr:uid="{BAC435EA-E67F-4AD2-8F39-37C20EF3EAA5}"/>
    <cellStyle name="taples Plaza 4 27" xfId="2231" xr:uid="{00000000-0005-0000-0000-0000C0080000}"/>
    <cellStyle name="taples Plaza 4 27 2" xfId="6401" xr:uid="{233AEB8C-F9AA-4421-A419-04152A50B7E6}"/>
    <cellStyle name="taples Plaza 4 27 3" xfId="4327" xr:uid="{4FA8FE9E-CF2F-4BC2-841B-9A3ACFDFC049}"/>
    <cellStyle name="taples Plaza 4 28" xfId="2232" xr:uid="{00000000-0005-0000-0000-0000C1080000}"/>
    <cellStyle name="taples Plaza 4 28 2" xfId="6402" xr:uid="{9503DB22-2943-40AB-955B-31B8CCB9FA73}"/>
    <cellStyle name="taples Plaza 4 28 3" xfId="4328" xr:uid="{6DE6C59F-0AC0-4C2F-9687-754DE8F9513C}"/>
    <cellStyle name="taples Plaza 4 29" xfId="2233" xr:uid="{00000000-0005-0000-0000-0000C2080000}"/>
    <cellStyle name="taples Plaza 4 29 2" xfId="6403" xr:uid="{2A9552BA-E4E0-44B8-B2D6-2E063053B0F7}"/>
    <cellStyle name="taples Plaza 4 29 3" xfId="4329" xr:uid="{60EC15D8-80D3-4F26-9D89-1A98E2A92664}"/>
    <cellStyle name="taples Plaza 4 3" xfId="2234" xr:uid="{00000000-0005-0000-0000-0000C3080000}"/>
    <cellStyle name="taples Plaza 4 3 2" xfId="6404" xr:uid="{BEFC2431-97F3-4D8C-8372-6D0CB5C61FB1}"/>
    <cellStyle name="taples Plaza 4 3 3" xfId="4330" xr:uid="{B8D8DC49-0C29-4D7C-A311-9841FEE3C538}"/>
    <cellStyle name="taples Plaza 4 30" xfId="6382" xr:uid="{4CDBEF69-2C94-480A-9811-0C8E26BEF891}"/>
    <cellStyle name="taples Plaza 4 31" xfId="4308" xr:uid="{6F236D9F-8ABB-4FE3-BF3F-43D375E5FBC8}"/>
    <cellStyle name="taples Plaza 4 4" xfId="2235" xr:uid="{00000000-0005-0000-0000-0000C4080000}"/>
    <cellStyle name="taples Plaza 4 4 2" xfId="6405" xr:uid="{CE2BC154-506C-4884-BA7E-ED5765BBE16A}"/>
    <cellStyle name="taples Plaza 4 4 3" xfId="4331" xr:uid="{9CA89D15-74C4-4CB1-BF57-DB0A734129E9}"/>
    <cellStyle name="taples Plaza 4 5" xfId="2236" xr:uid="{00000000-0005-0000-0000-0000C5080000}"/>
    <cellStyle name="taples Plaza 4 5 2" xfId="6406" xr:uid="{B257A856-BED6-467C-B3C3-205B15EBB879}"/>
    <cellStyle name="taples Plaza 4 5 3" xfId="4332" xr:uid="{BEDCAB46-9267-4424-B836-98DC2EB0AAD3}"/>
    <cellStyle name="taples Plaza 4 6" xfId="2237" xr:uid="{00000000-0005-0000-0000-0000C6080000}"/>
    <cellStyle name="taples Plaza 4 6 2" xfId="6407" xr:uid="{DDC0F3A9-A2B7-4A53-B793-EE5C8A22B117}"/>
    <cellStyle name="taples Plaza 4 6 3" xfId="4333" xr:uid="{C7440F19-0FC5-4880-A0CD-09A63A72C334}"/>
    <cellStyle name="taples Plaza 4 7" xfId="2238" xr:uid="{00000000-0005-0000-0000-0000C7080000}"/>
    <cellStyle name="taples Plaza 4 7 2" xfId="6408" xr:uid="{DADF7FF6-1359-4A9D-A3C9-C96912BD6A5A}"/>
    <cellStyle name="taples Plaza 4 7 3" xfId="4334" xr:uid="{8F4F2FA0-9BB3-4B4B-930A-EF55F638DB11}"/>
    <cellStyle name="taples Plaza 4 8" xfId="2239" xr:uid="{00000000-0005-0000-0000-0000C8080000}"/>
    <cellStyle name="taples Plaza 4 8 2" xfId="6409" xr:uid="{1943EEA8-693B-4482-AE57-C781A6C11FAB}"/>
    <cellStyle name="taples Plaza 4 8 3" xfId="4335" xr:uid="{347032AA-D1EA-49BA-A1BD-89DC333FCB22}"/>
    <cellStyle name="taples Plaza 4 9" xfId="2240" xr:uid="{00000000-0005-0000-0000-0000C9080000}"/>
    <cellStyle name="taples Plaza 4 9 2" xfId="6410" xr:uid="{DEE08787-1487-4733-A4D4-E2D7C5007239}"/>
    <cellStyle name="taples Plaza 4 9 3" xfId="4336" xr:uid="{E223F0DD-2D53-439E-9BA4-ED9746CD1E8C}"/>
    <cellStyle name="taples Plaza 5" xfId="2241" xr:uid="{00000000-0005-0000-0000-0000CA080000}"/>
    <cellStyle name="taples Plaza 5 10" xfId="2242" xr:uid="{00000000-0005-0000-0000-0000CB080000}"/>
    <cellStyle name="taples Plaza 5 10 2" xfId="6412" xr:uid="{BD54BB25-3179-4D2E-A61B-BED6B1E4925F}"/>
    <cellStyle name="taples Plaza 5 10 3" xfId="4338" xr:uid="{972F51EE-9D36-41EA-9891-4A28E58D3810}"/>
    <cellStyle name="taples Plaza 5 11" xfId="2243" xr:uid="{00000000-0005-0000-0000-0000CC080000}"/>
    <cellStyle name="taples Plaza 5 11 2" xfId="6413" xr:uid="{719E55E3-0BF7-4B03-95D8-B24DE69BEAC7}"/>
    <cellStyle name="taples Plaza 5 11 3" xfId="4339" xr:uid="{8F4E745A-85B5-4C49-8DF2-F7ECA44CDEBB}"/>
    <cellStyle name="taples Plaza 5 12" xfId="2244" xr:uid="{00000000-0005-0000-0000-0000CD080000}"/>
    <cellStyle name="taples Plaza 5 12 2" xfId="6414" xr:uid="{C4DEA137-695A-4BB2-B8AA-B33156768D26}"/>
    <cellStyle name="taples Plaza 5 12 3" xfId="4340" xr:uid="{B84CDD0A-7DE3-45E6-81CE-97B873E2874D}"/>
    <cellStyle name="taples Plaza 5 13" xfId="2245" xr:uid="{00000000-0005-0000-0000-0000CE080000}"/>
    <cellStyle name="taples Plaza 5 13 2" xfId="6415" xr:uid="{AD408104-64C2-4B0F-B61A-3116E65F38BF}"/>
    <cellStyle name="taples Plaza 5 13 3" xfId="4341" xr:uid="{4A9BFFFF-B155-4D2A-AFE7-0736E3AEDB4E}"/>
    <cellStyle name="taples Plaza 5 14" xfId="2246" xr:uid="{00000000-0005-0000-0000-0000CF080000}"/>
    <cellStyle name="taples Plaza 5 14 2" xfId="6416" xr:uid="{6CF0CC8D-76E5-406D-A58E-8190FE929C7D}"/>
    <cellStyle name="taples Plaza 5 14 3" xfId="4342" xr:uid="{12D9A402-34C9-4664-BA0D-534A1AB6C008}"/>
    <cellStyle name="taples Plaza 5 15" xfId="2247" xr:uid="{00000000-0005-0000-0000-0000D0080000}"/>
    <cellStyle name="taples Plaza 5 15 2" xfId="6417" xr:uid="{0657354C-992E-40D5-BFA3-0B5EBA5513F5}"/>
    <cellStyle name="taples Plaza 5 15 3" xfId="4343" xr:uid="{AC479AFA-ADE4-46AA-AE43-B0EE48D098BA}"/>
    <cellStyle name="taples Plaza 5 16" xfId="2248" xr:uid="{00000000-0005-0000-0000-0000D1080000}"/>
    <cellStyle name="taples Plaza 5 16 2" xfId="6418" xr:uid="{D87D8AC9-FE62-499C-B907-7277234AC51E}"/>
    <cellStyle name="taples Plaza 5 16 3" xfId="4344" xr:uid="{6C38B3E4-A961-4CD2-934A-3945F829A367}"/>
    <cellStyle name="taples Plaza 5 17" xfId="2249" xr:uid="{00000000-0005-0000-0000-0000D2080000}"/>
    <cellStyle name="taples Plaza 5 17 2" xfId="6419" xr:uid="{837668E2-8EFA-452D-A20D-FB79DCDBD0FC}"/>
    <cellStyle name="taples Plaza 5 17 3" xfId="4345" xr:uid="{2FF5DC9C-ABAD-4B41-973D-A2A461FCD39C}"/>
    <cellStyle name="taples Plaza 5 18" xfId="2250" xr:uid="{00000000-0005-0000-0000-0000D3080000}"/>
    <cellStyle name="taples Plaza 5 18 2" xfId="6420" xr:uid="{C3ED82E1-AA59-40B5-B32F-D1D355A61E4F}"/>
    <cellStyle name="taples Plaza 5 18 3" xfId="4346" xr:uid="{CB93EE34-3F1C-4CB2-BC1C-CEDB0176FCA7}"/>
    <cellStyle name="taples Plaza 5 19" xfId="2251" xr:uid="{00000000-0005-0000-0000-0000D4080000}"/>
    <cellStyle name="taples Plaza 5 19 2" xfId="6421" xr:uid="{A5EAF4E9-22A0-410F-BBBA-678E1DD4E567}"/>
    <cellStyle name="taples Plaza 5 19 3" xfId="4347" xr:uid="{6CEDB530-4A3D-4753-8230-1CE963787510}"/>
    <cellStyle name="taples Plaza 5 2" xfId="2252" xr:uid="{00000000-0005-0000-0000-0000D5080000}"/>
    <cellStyle name="taples Plaza 5 2 2" xfId="6422" xr:uid="{85ABE283-5937-4AC0-833B-A240B164BE6A}"/>
    <cellStyle name="taples Plaza 5 2 3" xfId="4348" xr:uid="{2639D2CB-4D09-456D-B2FD-9A686BD88E51}"/>
    <cellStyle name="taples Plaza 5 20" xfId="2253" xr:uid="{00000000-0005-0000-0000-0000D6080000}"/>
    <cellStyle name="taples Plaza 5 20 2" xfId="6423" xr:uid="{33F27A1E-CECD-4F24-A534-AC4B815692DB}"/>
    <cellStyle name="taples Plaza 5 20 3" xfId="4349" xr:uid="{D8E160E0-FCDF-4901-84B1-09C3EA11DF0F}"/>
    <cellStyle name="taples Plaza 5 21" xfId="2254" xr:uid="{00000000-0005-0000-0000-0000D7080000}"/>
    <cellStyle name="taples Plaza 5 21 2" xfId="6424" xr:uid="{86A6026A-353A-4511-972B-02853FB77AAB}"/>
    <cellStyle name="taples Plaza 5 21 3" xfId="4350" xr:uid="{FC382C94-1CC9-48A6-A90B-CC14EC48AE07}"/>
    <cellStyle name="taples Plaza 5 22" xfId="2255" xr:uid="{00000000-0005-0000-0000-0000D8080000}"/>
    <cellStyle name="taples Plaza 5 22 2" xfId="6425" xr:uid="{E52F0AF3-3341-475E-91C1-5B479BFA1503}"/>
    <cellStyle name="taples Plaza 5 22 3" xfId="4351" xr:uid="{B83FFAE0-1320-43A6-B9CE-D75F237234AF}"/>
    <cellStyle name="taples Plaza 5 23" xfId="2256" xr:uid="{00000000-0005-0000-0000-0000D9080000}"/>
    <cellStyle name="taples Plaza 5 23 2" xfId="6426" xr:uid="{6C757D7B-F61E-4EF2-9F18-F23DE72BDD5A}"/>
    <cellStyle name="taples Plaza 5 23 3" xfId="4352" xr:uid="{8F337A38-C133-4ECD-9A29-CFC1A616A318}"/>
    <cellStyle name="taples Plaza 5 24" xfId="2257" xr:uid="{00000000-0005-0000-0000-0000DA080000}"/>
    <cellStyle name="taples Plaza 5 24 2" xfId="6427" xr:uid="{C5D7728E-FC3A-4AFD-8DE7-E60A0B7A17B9}"/>
    <cellStyle name="taples Plaza 5 24 3" xfId="4353" xr:uid="{E725DCC4-7F06-4E27-9335-3240CCF56C4D}"/>
    <cellStyle name="taples Plaza 5 25" xfId="2258" xr:uid="{00000000-0005-0000-0000-0000DB080000}"/>
    <cellStyle name="taples Plaza 5 25 2" xfId="6428" xr:uid="{F0F16C8E-9028-4A01-80DA-65679BAD8316}"/>
    <cellStyle name="taples Plaza 5 25 3" xfId="4354" xr:uid="{02E4C436-3E8C-476F-B869-69DEC6ECC0E6}"/>
    <cellStyle name="taples Plaza 5 26" xfId="2259" xr:uid="{00000000-0005-0000-0000-0000DC080000}"/>
    <cellStyle name="taples Plaza 5 26 2" xfId="6429" xr:uid="{5FC97303-E9F7-4E70-9A83-DEA69C34511A}"/>
    <cellStyle name="taples Plaza 5 26 3" xfId="4355" xr:uid="{65B2FA79-8678-4862-8A99-62BE2473B363}"/>
    <cellStyle name="taples Plaza 5 27" xfId="2260" xr:uid="{00000000-0005-0000-0000-0000DD080000}"/>
    <cellStyle name="taples Plaza 5 27 2" xfId="6430" xr:uid="{58BFDFFE-6893-45F0-8201-8BDADDFDAE69}"/>
    <cellStyle name="taples Plaza 5 27 3" xfId="4356" xr:uid="{70216424-F90B-41BB-B49F-E6851A8553CA}"/>
    <cellStyle name="taples Plaza 5 28" xfId="2261" xr:uid="{00000000-0005-0000-0000-0000DE080000}"/>
    <cellStyle name="taples Plaza 5 28 2" xfId="6431" xr:uid="{66F28D6A-E59F-4F28-8A38-7CCD21C08926}"/>
    <cellStyle name="taples Plaza 5 28 3" xfId="4357" xr:uid="{8AA4FC8C-409B-4D19-A5B1-5ED14CCEBE38}"/>
    <cellStyle name="taples Plaza 5 29" xfId="2262" xr:uid="{00000000-0005-0000-0000-0000DF080000}"/>
    <cellStyle name="taples Plaza 5 29 2" xfId="6432" xr:uid="{37257E02-C6A3-4037-BC01-72866F8E28E4}"/>
    <cellStyle name="taples Plaza 5 29 3" xfId="4358" xr:uid="{AC787A81-93B6-4A28-B46B-51E508B6C809}"/>
    <cellStyle name="taples Plaza 5 3" xfId="2263" xr:uid="{00000000-0005-0000-0000-0000E0080000}"/>
    <cellStyle name="taples Plaza 5 3 2" xfId="6433" xr:uid="{68F7049C-F495-4AEB-A8E4-C8EA77DE6496}"/>
    <cellStyle name="taples Plaza 5 3 3" xfId="4359" xr:uid="{45138BD5-E98A-4E2F-9C53-B808348F1BDB}"/>
    <cellStyle name="taples Plaza 5 30" xfId="6411" xr:uid="{097E1252-5EC2-4A76-A664-2AD436D1F512}"/>
    <cellStyle name="taples Plaza 5 31" xfId="4337" xr:uid="{03CC8AF5-4562-4799-92DE-0FEA25B59FF5}"/>
    <cellStyle name="taples Plaza 5 4" xfId="2264" xr:uid="{00000000-0005-0000-0000-0000E1080000}"/>
    <cellStyle name="taples Plaza 5 4 2" xfId="6434" xr:uid="{4975B0FC-4515-45C0-9079-EA5A20D83531}"/>
    <cellStyle name="taples Plaza 5 4 3" xfId="4360" xr:uid="{A9E87592-E1E0-4085-8898-71D82C276855}"/>
    <cellStyle name="taples Plaza 5 5" xfId="2265" xr:uid="{00000000-0005-0000-0000-0000E2080000}"/>
    <cellStyle name="taples Plaza 5 5 2" xfId="6435" xr:uid="{D92128FC-98A1-4862-8442-A809A73C2E86}"/>
    <cellStyle name="taples Plaza 5 5 3" xfId="4361" xr:uid="{98D654D6-8D3E-430B-B197-A6141FFE5889}"/>
    <cellStyle name="taples Plaza 5 6" xfId="2266" xr:uid="{00000000-0005-0000-0000-0000E3080000}"/>
    <cellStyle name="taples Plaza 5 6 2" xfId="6436" xr:uid="{5998F284-3416-4168-AB00-46CD435BA3AE}"/>
    <cellStyle name="taples Plaza 5 6 3" xfId="4362" xr:uid="{C46C1967-5624-4260-A3A9-AE35D541BD27}"/>
    <cellStyle name="taples Plaza 5 7" xfId="2267" xr:uid="{00000000-0005-0000-0000-0000E4080000}"/>
    <cellStyle name="taples Plaza 5 7 2" xfId="6437" xr:uid="{1E67EC04-8F3C-4F42-A826-3E74060197F9}"/>
    <cellStyle name="taples Plaza 5 7 3" xfId="4363" xr:uid="{5A6AE0D9-4A21-4BCF-AD09-AC6062D079A4}"/>
    <cellStyle name="taples Plaza 5 8" xfId="2268" xr:uid="{00000000-0005-0000-0000-0000E5080000}"/>
    <cellStyle name="taples Plaza 5 8 2" xfId="6438" xr:uid="{F37D3907-0CAC-4884-8301-B412A17DBD5C}"/>
    <cellStyle name="taples Plaza 5 8 3" xfId="4364" xr:uid="{B0F5887F-824D-4310-BC9E-484F6555ED64}"/>
    <cellStyle name="taples Plaza 5 9" xfId="2269" xr:uid="{00000000-0005-0000-0000-0000E6080000}"/>
    <cellStyle name="taples Plaza 5 9 2" xfId="6439" xr:uid="{59C2E7F3-5DBE-4F8D-A99D-C192FEDBA737}"/>
    <cellStyle name="taples Plaza 5 9 3" xfId="4365" xr:uid="{D2157C7F-E52F-48B4-B691-8DB4511D895A}"/>
    <cellStyle name="taples Plaza 6" xfId="2270" xr:uid="{00000000-0005-0000-0000-0000E7080000}"/>
    <cellStyle name="taples Plaza 6 10" xfId="2271" xr:uid="{00000000-0005-0000-0000-0000E8080000}"/>
    <cellStyle name="taples Plaza 6 10 2" xfId="6441" xr:uid="{BD8BC845-FA86-4FFE-8A08-0F4F451F8DB3}"/>
    <cellStyle name="taples Plaza 6 10 3" xfId="4367" xr:uid="{66271D82-1006-49FB-AEE1-7B093C5A16F8}"/>
    <cellStyle name="taples Plaza 6 11" xfId="2272" xr:uid="{00000000-0005-0000-0000-0000E9080000}"/>
    <cellStyle name="taples Plaza 6 11 2" xfId="6442" xr:uid="{316ADD45-4AA2-4C50-831A-1E39898C7012}"/>
    <cellStyle name="taples Plaza 6 11 3" xfId="4368" xr:uid="{AE7F34C8-F198-4A83-AC52-BF01B33AA8CF}"/>
    <cellStyle name="taples Plaza 6 12" xfId="2273" xr:uid="{00000000-0005-0000-0000-0000EA080000}"/>
    <cellStyle name="taples Plaza 6 12 2" xfId="6443" xr:uid="{3A5AC6D0-A98F-4FD3-BDAF-54EE81608979}"/>
    <cellStyle name="taples Plaza 6 12 3" xfId="4369" xr:uid="{B6379ECB-4903-47BD-B5D5-0A6833A3C871}"/>
    <cellStyle name="taples Plaza 6 13" xfId="2274" xr:uid="{00000000-0005-0000-0000-0000EB080000}"/>
    <cellStyle name="taples Plaza 6 13 2" xfId="6444" xr:uid="{9E98C204-03BC-4B42-ADA8-0F4AB07E12D4}"/>
    <cellStyle name="taples Plaza 6 13 3" xfId="4370" xr:uid="{6B1ECCFC-B2BE-41A7-9F85-D69F3DEB1F94}"/>
    <cellStyle name="taples Plaza 6 14" xfId="2275" xr:uid="{00000000-0005-0000-0000-0000EC080000}"/>
    <cellStyle name="taples Plaza 6 14 2" xfId="6445" xr:uid="{63B4B290-3E68-443F-BF19-BECB9286A766}"/>
    <cellStyle name="taples Plaza 6 14 3" xfId="4371" xr:uid="{46F8F760-159B-476C-8567-7950D0D061C1}"/>
    <cellStyle name="taples Plaza 6 15" xfId="2276" xr:uid="{00000000-0005-0000-0000-0000ED080000}"/>
    <cellStyle name="taples Plaza 6 15 2" xfId="6446" xr:uid="{14411101-81E9-40CA-80A7-B11F64C1104E}"/>
    <cellStyle name="taples Plaza 6 15 3" xfId="4372" xr:uid="{99A8D6A1-A68F-4BA5-A3E3-800F84DDC3BE}"/>
    <cellStyle name="taples Plaza 6 16" xfId="2277" xr:uid="{00000000-0005-0000-0000-0000EE080000}"/>
    <cellStyle name="taples Plaza 6 16 2" xfId="6447" xr:uid="{5D821C2D-76A6-42E7-AA8D-71C533B028F5}"/>
    <cellStyle name="taples Plaza 6 16 3" xfId="4373" xr:uid="{CC28AC05-D0D3-4186-850F-9BBB0DE5C29B}"/>
    <cellStyle name="taples Plaza 6 17" xfId="2278" xr:uid="{00000000-0005-0000-0000-0000EF080000}"/>
    <cellStyle name="taples Plaza 6 17 2" xfId="6448" xr:uid="{1D455242-080C-4CB0-9448-8203ADA38104}"/>
    <cellStyle name="taples Plaza 6 17 3" xfId="4374" xr:uid="{2938761B-0718-4970-AD01-22BDB1DB132D}"/>
    <cellStyle name="taples Plaza 6 18" xfId="2279" xr:uid="{00000000-0005-0000-0000-0000F0080000}"/>
    <cellStyle name="taples Plaza 6 18 2" xfId="6449" xr:uid="{FFA5A7D5-7C1E-40F4-881A-D3F025BC8CBA}"/>
    <cellStyle name="taples Plaza 6 18 3" xfId="4375" xr:uid="{D9333676-75CE-49DE-AC66-DC8722DD0422}"/>
    <cellStyle name="taples Plaza 6 19" xfId="2280" xr:uid="{00000000-0005-0000-0000-0000F1080000}"/>
    <cellStyle name="taples Plaza 6 19 2" xfId="6450" xr:uid="{E4A71AD3-34BC-49EE-A541-FF4AE51B5D12}"/>
    <cellStyle name="taples Plaza 6 19 3" xfId="4376" xr:uid="{EE47187E-09BC-4EE3-80A7-D5801DE8C8BD}"/>
    <cellStyle name="taples Plaza 6 2" xfId="2281" xr:uid="{00000000-0005-0000-0000-0000F2080000}"/>
    <cellStyle name="taples Plaza 6 2 2" xfId="6451" xr:uid="{BDDF7EA9-9A76-4CFF-890E-F88F42865449}"/>
    <cellStyle name="taples Plaza 6 2 3" xfId="4377" xr:uid="{A62B5835-ABB3-4A25-8744-B79005BA835F}"/>
    <cellStyle name="taples Plaza 6 20" xfId="2282" xr:uid="{00000000-0005-0000-0000-0000F3080000}"/>
    <cellStyle name="taples Plaza 6 20 2" xfId="6452" xr:uid="{C8F93D71-8246-4A84-812B-AC7B2E7638D5}"/>
    <cellStyle name="taples Plaza 6 20 3" xfId="4378" xr:uid="{9B4BAA16-20E3-47C1-87EB-E296FF52D6D7}"/>
    <cellStyle name="taples Plaza 6 21" xfId="2283" xr:uid="{00000000-0005-0000-0000-0000F4080000}"/>
    <cellStyle name="taples Plaza 6 21 2" xfId="6453" xr:uid="{35B35367-EA98-43D9-90C3-EEB58EF66936}"/>
    <cellStyle name="taples Plaza 6 21 3" xfId="4379" xr:uid="{53828FA6-98A8-4279-95C3-814856B08F77}"/>
    <cellStyle name="taples Plaza 6 22" xfId="2284" xr:uid="{00000000-0005-0000-0000-0000F5080000}"/>
    <cellStyle name="taples Plaza 6 22 2" xfId="6454" xr:uid="{2D420895-7E1C-4BCA-83D3-75069857C727}"/>
    <cellStyle name="taples Plaza 6 22 3" xfId="4380" xr:uid="{88CDC942-2D60-4966-9F67-BE18001884CC}"/>
    <cellStyle name="taples Plaza 6 23" xfId="2285" xr:uid="{00000000-0005-0000-0000-0000F6080000}"/>
    <cellStyle name="taples Plaza 6 23 2" xfId="6455" xr:uid="{76DDCDA6-FC84-4CCF-9EE6-EA33DF51A0FE}"/>
    <cellStyle name="taples Plaza 6 23 3" xfId="4381" xr:uid="{C9B15309-EEEE-4796-827C-40482449F1E6}"/>
    <cellStyle name="taples Plaza 6 24" xfId="2286" xr:uid="{00000000-0005-0000-0000-0000F7080000}"/>
    <cellStyle name="taples Plaza 6 24 2" xfId="6456" xr:uid="{B16F100E-F9C5-4DB0-A54D-F57FB46C0F9A}"/>
    <cellStyle name="taples Plaza 6 24 3" xfId="4382" xr:uid="{22AB225F-E1FC-4E9B-B586-264229E60B87}"/>
    <cellStyle name="taples Plaza 6 25" xfId="2287" xr:uid="{00000000-0005-0000-0000-0000F8080000}"/>
    <cellStyle name="taples Plaza 6 25 2" xfId="6457" xr:uid="{CEF3094E-B20F-4213-9E16-C214856178FC}"/>
    <cellStyle name="taples Plaza 6 25 3" xfId="4383" xr:uid="{E5D79C79-F910-41B6-B9E8-BA18F0FA3059}"/>
    <cellStyle name="taples Plaza 6 26" xfId="2288" xr:uid="{00000000-0005-0000-0000-0000F9080000}"/>
    <cellStyle name="taples Plaza 6 26 2" xfId="6458" xr:uid="{BE047C5E-AACB-4BF0-B94B-0E26E3789DC5}"/>
    <cellStyle name="taples Plaza 6 26 3" xfId="4384" xr:uid="{7730B267-4281-4C1B-BA60-4535993F2624}"/>
    <cellStyle name="taples Plaza 6 27" xfId="2289" xr:uid="{00000000-0005-0000-0000-0000FA080000}"/>
    <cellStyle name="taples Plaza 6 27 2" xfId="6459" xr:uid="{C5F859FF-FBF7-433D-8B9D-7A59159853BA}"/>
    <cellStyle name="taples Plaza 6 27 3" xfId="4385" xr:uid="{C0786811-05D8-4E7A-9C90-932FF87D680D}"/>
    <cellStyle name="taples Plaza 6 28" xfId="2290" xr:uid="{00000000-0005-0000-0000-0000FB080000}"/>
    <cellStyle name="taples Plaza 6 28 2" xfId="6460" xr:uid="{60EC45E2-C07B-4409-876B-1AC6FD9B1C6C}"/>
    <cellStyle name="taples Plaza 6 28 3" xfId="4386" xr:uid="{1BBD5F59-431B-4B44-9D6A-5C1A126D69BF}"/>
    <cellStyle name="taples Plaza 6 29" xfId="2291" xr:uid="{00000000-0005-0000-0000-0000FC080000}"/>
    <cellStyle name="taples Plaza 6 29 2" xfId="6461" xr:uid="{67BFFAED-E883-4B18-9ED4-6E7839D5F9E5}"/>
    <cellStyle name="taples Plaza 6 29 3" xfId="4387" xr:uid="{D810FB9B-DD06-47B4-A116-B7B7B5C7C44F}"/>
    <cellStyle name="taples Plaza 6 3" xfId="2292" xr:uid="{00000000-0005-0000-0000-0000FD080000}"/>
    <cellStyle name="taples Plaza 6 3 2" xfId="6462" xr:uid="{0F6AF111-05C6-47DE-A34F-230962DB99B1}"/>
    <cellStyle name="taples Plaza 6 3 3" xfId="4388" xr:uid="{B23E55E7-1EA2-4806-87EB-6CD7602D6B52}"/>
    <cellStyle name="taples Plaza 6 30" xfId="6440" xr:uid="{DA6F620B-9E24-4190-A452-6ADE3C75F83F}"/>
    <cellStyle name="taples Plaza 6 31" xfId="4366" xr:uid="{D30556DA-E581-40C7-A53D-2AC1A4141109}"/>
    <cellStyle name="taples Plaza 6 4" xfId="2293" xr:uid="{00000000-0005-0000-0000-0000FE080000}"/>
    <cellStyle name="taples Plaza 6 4 2" xfId="6463" xr:uid="{28B30108-06E0-4825-A124-A9365AADC737}"/>
    <cellStyle name="taples Plaza 6 4 3" xfId="4389" xr:uid="{491D61A0-B12E-443E-ADE0-821F3F7D4D4D}"/>
    <cellStyle name="taples Plaza 6 5" xfId="2294" xr:uid="{00000000-0005-0000-0000-0000FF080000}"/>
    <cellStyle name="taples Plaza 6 5 2" xfId="6464" xr:uid="{BF67184F-6F21-4ACB-9E25-44B8E743F67E}"/>
    <cellStyle name="taples Plaza 6 5 3" xfId="4390" xr:uid="{D1AB9454-8A07-4858-88E1-F2242C512BA8}"/>
    <cellStyle name="taples Plaza 6 6" xfId="2295" xr:uid="{00000000-0005-0000-0000-000000090000}"/>
    <cellStyle name="taples Plaza 6 6 2" xfId="6465" xr:uid="{4DB1DA04-B8A0-4427-8B78-33E2A93FA59D}"/>
    <cellStyle name="taples Plaza 6 6 3" xfId="4391" xr:uid="{04A0CC1B-8D55-437B-8FA7-B57575E76B77}"/>
    <cellStyle name="taples Plaza 6 7" xfId="2296" xr:uid="{00000000-0005-0000-0000-000001090000}"/>
    <cellStyle name="taples Plaza 6 7 2" xfId="6466" xr:uid="{B9085E14-B175-4B69-9D6A-BF36CD4BC0F5}"/>
    <cellStyle name="taples Plaza 6 7 3" xfId="4392" xr:uid="{FFC5AA65-5EFD-4738-A57C-62CCAAC7E7E7}"/>
    <cellStyle name="taples Plaza 6 8" xfId="2297" xr:uid="{00000000-0005-0000-0000-000002090000}"/>
    <cellStyle name="taples Plaza 6 8 2" xfId="6467" xr:uid="{24784487-3FEE-4EE1-8F63-FF92C03C41A1}"/>
    <cellStyle name="taples Plaza 6 8 3" xfId="4393" xr:uid="{C93D012D-D4D1-463F-8FB3-BED5E554FA0B}"/>
    <cellStyle name="taples Plaza 6 9" xfId="2298" xr:uid="{00000000-0005-0000-0000-000003090000}"/>
    <cellStyle name="taples Plaza 6 9 2" xfId="6468" xr:uid="{1E046661-F7E3-4F6E-B7B0-0E02ACB78196}"/>
    <cellStyle name="taples Plaza 6 9 3" xfId="4394" xr:uid="{DBB893D3-57A0-45FE-B98A-04DD3E6C305E}"/>
    <cellStyle name="taples Plaza 7" xfId="6323" xr:uid="{8D56E1F9-B9D1-42E9-852A-497BD4B5553E}"/>
    <cellStyle name="taples Plaza 8" xfId="4249" xr:uid="{4DB217D1-C0B0-42D5-9C6F-FFCA7C10BE3B}"/>
    <cellStyle name="Title 2" xfId="2299" xr:uid="{00000000-0005-0000-0000-000004090000}"/>
    <cellStyle name="Title 3" xfId="2300" xr:uid="{00000000-0005-0000-0000-000005090000}"/>
    <cellStyle name="Title 4" xfId="2301" xr:uid="{00000000-0005-0000-0000-000006090000}"/>
    <cellStyle name="Title 5" xfId="2302" xr:uid="{00000000-0005-0000-0000-000007090000}"/>
    <cellStyle name="Title 6" xfId="2303" xr:uid="{00000000-0005-0000-0000-000008090000}"/>
    <cellStyle name="Total 2" xfId="2304" xr:uid="{00000000-0005-0000-0000-000009090000}"/>
    <cellStyle name="Total 2 2" xfId="6469" xr:uid="{1D8FA1C5-389F-4273-BDEF-F86F4BCF23E9}"/>
    <cellStyle name="Total 2 3" xfId="4395" xr:uid="{2F436AF5-14A9-454C-8CA0-237426B82622}"/>
    <cellStyle name="Total 3" xfId="2305" xr:uid="{00000000-0005-0000-0000-00000A090000}"/>
    <cellStyle name="Total 3 2" xfId="6470" xr:uid="{F6F4027E-2F3F-48FD-A256-2068A0C0DA57}"/>
    <cellStyle name="Total 3 3" xfId="4396" xr:uid="{64D5B9C1-1706-42C5-A970-D17D80DCFF84}"/>
    <cellStyle name="Total 4" xfId="2306" xr:uid="{00000000-0005-0000-0000-00000B090000}"/>
    <cellStyle name="Total 4 2" xfId="6471" xr:uid="{F79724A2-6DB4-4BF4-BC9A-A24EAD9387CD}"/>
    <cellStyle name="Total 4 3" xfId="4397" xr:uid="{71172AB4-BEE7-4B03-88A1-04915DB82A19}"/>
    <cellStyle name="Total 5" xfId="2307" xr:uid="{00000000-0005-0000-0000-00000C090000}"/>
    <cellStyle name="Total 5 2" xfId="6472" xr:uid="{B6FDF314-404D-4DDD-85DC-2C37EF70C159}"/>
    <cellStyle name="Total 5 3" xfId="4398" xr:uid="{6FAB3AD0-52E1-4785-93D4-B90CB1805324}"/>
    <cellStyle name="Total 6" xfId="2308" xr:uid="{00000000-0005-0000-0000-00000D090000}"/>
    <cellStyle name="Total 6 2" xfId="6473" xr:uid="{05E958C4-49A8-46B4-AE60-E251E3C7BF58}"/>
    <cellStyle name="Total 6 3" xfId="4399" xr:uid="{057EA199-EEBD-40D2-8D35-FAC7DB3E3BD4}"/>
    <cellStyle name="TOTALS Row" xfId="2309" xr:uid="{00000000-0005-0000-0000-00000E090000}"/>
    <cellStyle name="Währung [0]_pldt" xfId="2310" xr:uid="{00000000-0005-0000-0000-00000F090000}"/>
    <cellStyle name="Währung_pldt" xfId="2311" xr:uid="{00000000-0005-0000-0000-000010090000}"/>
    <cellStyle name="Warning Text 2" xfId="2312" xr:uid="{00000000-0005-0000-0000-000011090000}"/>
    <cellStyle name="Warning Text 3" xfId="2313" xr:uid="{00000000-0005-0000-0000-000012090000}"/>
    <cellStyle name="Warning Text 4" xfId="2314" xr:uid="{00000000-0005-0000-0000-000013090000}"/>
    <cellStyle name="Warning Text 5" xfId="2315" xr:uid="{00000000-0005-0000-0000-000014090000}"/>
    <cellStyle name="Warning Text 6" xfId="2316" xr:uid="{00000000-0005-0000-0000-00001509000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66FF"/>
      <color rgb="FFFFFFCC"/>
      <color rgb="FFFFCC99"/>
      <color rgb="FFFFFF66"/>
      <color rgb="FF7C8B4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11.emf"/><Relationship Id="rId3" Type="http://schemas.openxmlformats.org/officeDocument/2006/relationships/image" Target="../media/image6.png"/><Relationship Id="rId7" Type="http://schemas.openxmlformats.org/officeDocument/2006/relationships/image" Target="../media/image10.emf"/><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emf"/><Relationship Id="rId10" Type="http://schemas.openxmlformats.org/officeDocument/2006/relationships/image" Target="../media/image13.emf"/><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7</xdr:col>
      <xdr:colOff>61132</xdr:colOff>
      <xdr:row>1</xdr:row>
      <xdr:rowOff>1140980</xdr:rowOff>
    </xdr:from>
    <xdr:to>
      <xdr:col>7</xdr:col>
      <xdr:colOff>1780736</xdr:colOff>
      <xdr:row>2</xdr:row>
      <xdr:rowOff>522135</xdr:rowOff>
    </xdr:to>
    <xdr:sp macro="" textlink="">
      <xdr:nvSpPr>
        <xdr:cNvPr id="2" name="Arrow: Down 1">
          <a:extLst>
            <a:ext uri="{FF2B5EF4-FFF2-40B4-BE49-F238E27FC236}">
              <a16:creationId xmlns:a16="http://schemas.microsoft.com/office/drawing/2014/main" id="{00000000-0008-0000-0000-000002000000}"/>
            </a:ext>
          </a:extLst>
        </xdr:cNvPr>
        <xdr:cNvSpPr/>
      </xdr:nvSpPr>
      <xdr:spPr>
        <a:xfrm rot="17593066">
          <a:off x="16152856" y="765506"/>
          <a:ext cx="968655" cy="1719604"/>
        </a:xfrm>
        <a:prstGeom prst="downArrow">
          <a:avLst/>
        </a:prstGeom>
        <a:solidFill>
          <a:srgbClr val="FFFF66"/>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508000</xdr:colOff>
      <xdr:row>32</xdr:row>
      <xdr:rowOff>158750</xdr:rowOff>
    </xdr:from>
    <xdr:to>
      <xdr:col>6</xdr:col>
      <xdr:colOff>11448142</xdr:colOff>
      <xdr:row>33</xdr:row>
      <xdr:rowOff>54429</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35337750" y="107505500"/>
          <a:ext cx="10940142" cy="244929"/>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1876425</xdr:colOff>
      <xdr:row>27</xdr:row>
      <xdr:rowOff>2657475</xdr:rowOff>
    </xdr:from>
    <xdr:to>
      <xdr:col>6</xdr:col>
      <xdr:colOff>14227176</xdr:colOff>
      <xdr:row>28</xdr:row>
      <xdr:rowOff>206374</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32546925" y="89112725"/>
          <a:ext cx="16510001" cy="247649"/>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6</xdr:col>
      <xdr:colOff>285749</xdr:colOff>
      <xdr:row>17</xdr:row>
      <xdr:rowOff>4318000</xdr:rowOff>
    </xdr:from>
    <xdr:to>
      <xdr:col>6</xdr:col>
      <xdr:colOff>16795750</xdr:colOff>
      <xdr:row>19</xdr:row>
      <xdr:rowOff>2635250</xdr:rowOff>
    </xdr:to>
    <xdr:pic>
      <xdr:nvPicPr>
        <xdr:cNvPr id="8" name="Picture 7">
          <a:extLst>
            <a:ext uri="{FF2B5EF4-FFF2-40B4-BE49-F238E27FC236}">
              <a16:creationId xmlns:a16="http://schemas.microsoft.com/office/drawing/2014/main" id="{AA3CDA53-DC0E-FF4B-BAA4-3F01FDBF25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654749" y="66452750"/>
          <a:ext cx="16510001" cy="8731250"/>
        </a:xfrm>
        <a:prstGeom prst="rect">
          <a:avLst/>
        </a:prstGeom>
        <a:noFill/>
        <a:ln>
          <a:noFill/>
        </a:ln>
      </xdr:spPr>
    </xdr:pic>
    <xdr:clientData/>
  </xdr:twoCellAnchor>
  <xdr:twoCellAnchor editAs="oneCell">
    <xdr:from>
      <xdr:col>6</xdr:col>
      <xdr:colOff>317500</xdr:colOff>
      <xdr:row>21</xdr:row>
      <xdr:rowOff>190500</xdr:rowOff>
    </xdr:from>
    <xdr:to>
      <xdr:col>6</xdr:col>
      <xdr:colOff>16605250</xdr:colOff>
      <xdr:row>21</xdr:row>
      <xdr:rowOff>4140200</xdr:rowOff>
    </xdr:to>
    <xdr:pic>
      <xdr:nvPicPr>
        <xdr:cNvPr id="9" name="Picture 8">
          <a:extLst>
            <a:ext uri="{FF2B5EF4-FFF2-40B4-BE49-F238E27FC236}">
              <a16:creationId xmlns:a16="http://schemas.microsoft.com/office/drawing/2014/main" id="{CB9D9E84-258C-64CA-3901-BFA19FBD6A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686500" y="79438500"/>
          <a:ext cx="16287750" cy="3949700"/>
        </a:xfrm>
        <a:prstGeom prst="rect">
          <a:avLst/>
        </a:prstGeom>
        <a:noFill/>
        <a:ln>
          <a:noFill/>
        </a:ln>
      </xdr:spPr>
    </xdr:pic>
    <xdr:clientData/>
  </xdr:twoCellAnchor>
  <xdr:twoCellAnchor editAs="oneCell">
    <xdr:from>
      <xdr:col>6</xdr:col>
      <xdr:colOff>95250</xdr:colOff>
      <xdr:row>24</xdr:row>
      <xdr:rowOff>920750</xdr:rowOff>
    </xdr:from>
    <xdr:to>
      <xdr:col>6</xdr:col>
      <xdr:colOff>17018000</xdr:colOff>
      <xdr:row>25</xdr:row>
      <xdr:rowOff>0</xdr:rowOff>
    </xdr:to>
    <xdr:pic>
      <xdr:nvPicPr>
        <xdr:cNvPr id="11" name="Picture 10">
          <a:extLst>
            <a:ext uri="{FF2B5EF4-FFF2-40B4-BE49-F238E27FC236}">
              <a16:creationId xmlns:a16="http://schemas.microsoft.com/office/drawing/2014/main" id="{A2CF753B-F0F9-F4E0-40E7-FD59217EF94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1464250" y="94900750"/>
          <a:ext cx="16922750" cy="428625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812800</xdr:colOff>
      <xdr:row>22</xdr:row>
      <xdr:rowOff>1460500</xdr:rowOff>
    </xdr:from>
    <xdr:to>
      <xdr:col>4</xdr:col>
      <xdr:colOff>15019890</xdr:colOff>
      <xdr:row>22</xdr:row>
      <xdr:rowOff>5062883</xdr:rowOff>
    </xdr:to>
    <xdr:pic>
      <xdr:nvPicPr>
        <xdr:cNvPr id="2" name="Picture 1">
          <a:extLst>
            <a:ext uri="{FF2B5EF4-FFF2-40B4-BE49-F238E27FC236}">
              <a16:creationId xmlns:a16="http://schemas.microsoft.com/office/drawing/2014/main" id="{0B07259E-B56A-4834-A944-BC5D4810F011}"/>
            </a:ext>
          </a:extLst>
        </xdr:cNvPr>
        <xdr:cNvPicPr>
          <a:picLocks noChangeAspect="1"/>
        </xdr:cNvPicPr>
      </xdr:nvPicPr>
      <xdr:blipFill>
        <a:blip xmlns:r="http://schemas.openxmlformats.org/officeDocument/2006/relationships" r:embed="rId1"/>
        <a:stretch>
          <a:fillRect/>
        </a:stretch>
      </xdr:blipFill>
      <xdr:spPr>
        <a:xfrm>
          <a:off x="29483050" y="101311075"/>
          <a:ext cx="14207090" cy="3602383"/>
        </a:xfrm>
        <a:prstGeom prst="rect">
          <a:avLst/>
        </a:prstGeom>
      </xdr:spPr>
    </xdr:pic>
    <xdr:clientData/>
  </xdr:twoCellAnchor>
  <xdr:twoCellAnchor editAs="oneCell">
    <xdr:from>
      <xdr:col>2</xdr:col>
      <xdr:colOff>195791</xdr:colOff>
      <xdr:row>28</xdr:row>
      <xdr:rowOff>3518959</xdr:rowOff>
    </xdr:from>
    <xdr:to>
      <xdr:col>2</xdr:col>
      <xdr:colOff>12250209</xdr:colOff>
      <xdr:row>30</xdr:row>
      <xdr:rowOff>831389</xdr:rowOff>
    </xdr:to>
    <xdr:pic>
      <xdr:nvPicPr>
        <xdr:cNvPr id="4" name="Picture 3">
          <a:extLst>
            <a:ext uri="{FF2B5EF4-FFF2-40B4-BE49-F238E27FC236}">
              <a16:creationId xmlns:a16="http://schemas.microsoft.com/office/drawing/2014/main" id="{F70AD1A1-83EE-4BAF-84EF-835290E5B495}"/>
            </a:ext>
          </a:extLst>
        </xdr:cNvPr>
        <xdr:cNvPicPr>
          <a:picLocks noChangeAspect="1"/>
        </xdr:cNvPicPr>
      </xdr:nvPicPr>
      <xdr:blipFill>
        <a:blip xmlns:r="http://schemas.openxmlformats.org/officeDocument/2006/relationships" r:embed="rId2"/>
        <a:stretch>
          <a:fillRect/>
        </a:stretch>
      </xdr:blipFill>
      <xdr:spPr>
        <a:xfrm>
          <a:off x="12235391" y="134544859"/>
          <a:ext cx="12054418" cy="6323079"/>
        </a:xfrm>
        <a:prstGeom prst="rect">
          <a:avLst/>
        </a:prstGeom>
      </xdr:spPr>
    </xdr:pic>
    <xdr:clientData/>
  </xdr:twoCellAnchor>
  <xdr:twoCellAnchor editAs="oneCell">
    <xdr:from>
      <xdr:col>4</xdr:col>
      <xdr:colOff>109539</xdr:colOff>
      <xdr:row>29</xdr:row>
      <xdr:rowOff>1928811</xdr:rowOff>
    </xdr:from>
    <xdr:to>
      <xdr:col>5</xdr:col>
      <xdr:colOff>26198</xdr:colOff>
      <xdr:row>30</xdr:row>
      <xdr:rowOff>2197100</xdr:rowOff>
    </xdr:to>
    <xdr:pic>
      <xdr:nvPicPr>
        <xdr:cNvPr id="5" name="Picture 4">
          <a:extLst>
            <a:ext uri="{FF2B5EF4-FFF2-40B4-BE49-F238E27FC236}">
              <a16:creationId xmlns:a16="http://schemas.microsoft.com/office/drawing/2014/main" id="{51E67F63-CF89-4C99-86CB-C854B474B292}"/>
            </a:ext>
          </a:extLst>
        </xdr:cNvPr>
        <xdr:cNvPicPr>
          <a:picLocks noChangeAspect="1"/>
        </xdr:cNvPicPr>
      </xdr:nvPicPr>
      <xdr:blipFill>
        <a:blip xmlns:r="http://schemas.openxmlformats.org/officeDocument/2006/relationships" r:embed="rId3"/>
        <a:stretch>
          <a:fillRect/>
        </a:stretch>
      </xdr:blipFill>
      <xdr:spPr>
        <a:xfrm>
          <a:off x="28779789" y="138155361"/>
          <a:ext cx="16947359" cy="4078289"/>
        </a:xfrm>
        <a:prstGeom prst="rect">
          <a:avLst/>
        </a:prstGeom>
      </xdr:spPr>
    </xdr:pic>
    <xdr:clientData/>
  </xdr:twoCellAnchor>
  <xdr:twoCellAnchor editAs="oneCell">
    <xdr:from>
      <xdr:col>4</xdr:col>
      <xdr:colOff>160733</xdr:colOff>
      <xdr:row>36</xdr:row>
      <xdr:rowOff>4007087</xdr:rowOff>
    </xdr:from>
    <xdr:to>
      <xdr:col>4</xdr:col>
      <xdr:colOff>11974908</xdr:colOff>
      <xdr:row>37</xdr:row>
      <xdr:rowOff>2921515</xdr:rowOff>
    </xdr:to>
    <xdr:pic>
      <xdr:nvPicPr>
        <xdr:cNvPr id="6" name="Picture 5">
          <a:extLst>
            <a:ext uri="{FF2B5EF4-FFF2-40B4-BE49-F238E27FC236}">
              <a16:creationId xmlns:a16="http://schemas.microsoft.com/office/drawing/2014/main" id="{B739CDED-40C7-4C67-8D34-496EB2BA6E85}"/>
            </a:ext>
          </a:extLst>
        </xdr:cNvPr>
        <xdr:cNvPicPr>
          <a:picLocks noChangeAspect="1"/>
        </xdr:cNvPicPr>
      </xdr:nvPicPr>
      <xdr:blipFill>
        <a:blip xmlns:r="http://schemas.openxmlformats.org/officeDocument/2006/relationships" r:embed="rId4"/>
        <a:stretch>
          <a:fillRect/>
        </a:stretch>
      </xdr:blipFill>
      <xdr:spPr>
        <a:xfrm>
          <a:off x="28841566" y="166143754"/>
          <a:ext cx="11814175" cy="4100261"/>
        </a:xfrm>
        <a:prstGeom prst="rect">
          <a:avLst/>
        </a:prstGeom>
      </xdr:spPr>
    </xdr:pic>
    <xdr:clientData/>
  </xdr:twoCellAnchor>
  <xdr:twoCellAnchor editAs="oneCell">
    <xdr:from>
      <xdr:col>4</xdr:col>
      <xdr:colOff>211667</xdr:colOff>
      <xdr:row>39</xdr:row>
      <xdr:rowOff>2222500</xdr:rowOff>
    </xdr:from>
    <xdr:to>
      <xdr:col>4</xdr:col>
      <xdr:colOff>16748125</xdr:colOff>
      <xdr:row>39</xdr:row>
      <xdr:rowOff>4656667</xdr:rowOff>
    </xdr:to>
    <xdr:pic>
      <xdr:nvPicPr>
        <xdr:cNvPr id="7" name="Picture 6">
          <a:extLst>
            <a:ext uri="{FF2B5EF4-FFF2-40B4-BE49-F238E27FC236}">
              <a16:creationId xmlns:a16="http://schemas.microsoft.com/office/drawing/2014/main" id="{3E9AAAD4-E019-481A-ABBB-2585324FBA96}"/>
            </a:ext>
          </a:extLst>
        </xdr:cNvPr>
        <xdr:cNvPicPr>
          <a:picLocks noChangeAspect="1"/>
        </xdr:cNvPicPr>
      </xdr:nvPicPr>
      <xdr:blipFill>
        <a:blip xmlns:r="http://schemas.openxmlformats.org/officeDocument/2006/relationships" r:embed="rId5"/>
        <a:stretch>
          <a:fillRect/>
        </a:stretch>
      </xdr:blipFill>
      <xdr:spPr>
        <a:xfrm>
          <a:off x="28881917" y="183483250"/>
          <a:ext cx="16536458" cy="2434167"/>
        </a:xfrm>
        <a:prstGeom prst="rect">
          <a:avLst/>
        </a:prstGeom>
      </xdr:spPr>
    </xdr:pic>
    <xdr:clientData/>
  </xdr:twoCellAnchor>
  <xdr:twoCellAnchor editAs="oneCell">
    <xdr:from>
      <xdr:col>2</xdr:col>
      <xdr:colOff>105834</xdr:colOff>
      <xdr:row>17</xdr:row>
      <xdr:rowOff>2540000</xdr:rowOff>
    </xdr:from>
    <xdr:to>
      <xdr:col>2</xdr:col>
      <xdr:colOff>10160000</xdr:colOff>
      <xdr:row>17</xdr:row>
      <xdr:rowOff>5133046</xdr:rowOff>
    </xdr:to>
    <xdr:pic>
      <xdr:nvPicPr>
        <xdr:cNvPr id="8" name="Picture 7">
          <a:extLst>
            <a:ext uri="{FF2B5EF4-FFF2-40B4-BE49-F238E27FC236}">
              <a16:creationId xmlns:a16="http://schemas.microsoft.com/office/drawing/2014/main" id="{9E54D3AB-6EFA-45FB-B9A4-06D187E052A1}"/>
            </a:ext>
          </a:extLst>
        </xdr:cNvPr>
        <xdr:cNvPicPr>
          <a:picLocks noChangeAspect="1"/>
        </xdr:cNvPicPr>
      </xdr:nvPicPr>
      <xdr:blipFill>
        <a:blip xmlns:r="http://schemas.openxmlformats.org/officeDocument/2006/relationships" r:embed="rId6"/>
        <a:stretch>
          <a:fillRect/>
        </a:stretch>
      </xdr:blipFill>
      <xdr:spPr>
        <a:xfrm>
          <a:off x="12145434" y="77777975"/>
          <a:ext cx="10054166" cy="2593046"/>
        </a:xfrm>
        <a:prstGeom prst="rect">
          <a:avLst/>
        </a:prstGeom>
      </xdr:spPr>
    </xdr:pic>
    <xdr:clientData/>
  </xdr:twoCellAnchor>
  <xdr:twoCellAnchor editAs="oneCell">
    <xdr:from>
      <xdr:col>2</xdr:col>
      <xdr:colOff>26458</xdr:colOff>
      <xdr:row>18</xdr:row>
      <xdr:rowOff>4524375</xdr:rowOff>
    </xdr:from>
    <xdr:to>
      <xdr:col>2</xdr:col>
      <xdr:colOff>12647083</xdr:colOff>
      <xdr:row>20</xdr:row>
      <xdr:rowOff>1852084</xdr:rowOff>
    </xdr:to>
    <xdr:pic>
      <xdr:nvPicPr>
        <xdr:cNvPr id="9" name="Picture 8">
          <a:extLst>
            <a:ext uri="{FF2B5EF4-FFF2-40B4-BE49-F238E27FC236}">
              <a16:creationId xmlns:a16="http://schemas.microsoft.com/office/drawing/2014/main" id="{77C3D0C8-7697-473E-B9CB-DB9BBABDFA5D}"/>
            </a:ext>
          </a:extLst>
        </xdr:cNvPr>
        <xdr:cNvPicPr>
          <a:picLocks noChangeAspect="1"/>
        </xdr:cNvPicPr>
      </xdr:nvPicPr>
      <xdr:blipFill>
        <a:blip xmlns:r="http://schemas.openxmlformats.org/officeDocument/2006/relationships" r:embed="rId7"/>
        <a:stretch>
          <a:fillRect/>
        </a:stretch>
      </xdr:blipFill>
      <xdr:spPr>
        <a:xfrm>
          <a:off x="12066058" y="84963000"/>
          <a:ext cx="12620625" cy="6338358"/>
        </a:xfrm>
        <a:prstGeom prst="rect">
          <a:avLst/>
        </a:prstGeom>
      </xdr:spPr>
    </xdr:pic>
    <xdr:clientData/>
  </xdr:twoCellAnchor>
  <xdr:twoCellAnchor editAs="oneCell">
    <xdr:from>
      <xdr:col>4</xdr:col>
      <xdr:colOff>158749</xdr:colOff>
      <xdr:row>19</xdr:row>
      <xdr:rowOff>1111250</xdr:rowOff>
    </xdr:from>
    <xdr:to>
      <xdr:col>4</xdr:col>
      <xdr:colOff>16890999</xdr:colOff>
      <xdr:row>20</xdr:row>
      <xdr:rowOff>4318000</xdr:rowOff>
    </xdr:to>
    <xdr:pic>
      <xdr:nvPicPr>
        <xdr:cNvPr id="10" name="Picture 9">
          <a:extLst>
            <a:ext uri="{FF2B5EF4-FFF2-40B4-BE49-F238E27FC236}">
              <a16:creationId xmlns:a16="http://schemas.microsoft.com/office/drawing/2014/main" id="{C30DC246-24FB-4998-9967-6FEC1E22530A}"/>
            </a:ext>
          </a:extLst>
        </xdr:cNvPr>
        <xdr:cNvPicPr>
          <a:picLocks noChangeAspect="1"/>
        </xdr:cNvPicPr>
      </xdr:nvPicPr>
      <xdr:blipFill>
        <a:blip xmlns:r="http://schemas.openxmlformats.org/officeDocument/2006/relationships" r:embed="rId8"/>
        <a:stretch>
          <a:fillRect/>
        </a:stretch>
      </xdr:blipFill>
      <xdr:spPr>
        <a:xfrm>
          <a:off x="28839582" y="86730417"/>
          <a:ext cx="16732250" cy="7016750"/>
        </a:xfrm>
        <a:prstGeom prst="rect">
          <a:avLst/>
        </a:prstGeom>
      </xdr:spPr>
    </xdr:pic>
    <xdr:clientData/>
  </xdr:twoCellAnchor>
  <xdr:twoCellAnchor editAs="oneCell">
    <xdr:from>
      <xdr:col>4</xdr:col>
      <xdr:colOff>132291</xdr:colOff>
      <xdr:row>24</xdr:row>
      <xdr:rowOff>26458</xdr:rowOff>
    </xdr:from>
    <xdr:to>
      <xdr:col>4</xdr:col>
      <xdr:colOff>16853958</xdr:colOff>
      <xdr:row>25</xdr:row>
      <xdr:rowOff>5106458</xdr:rowOff>
    </xdr:to>
    <xdr:pic>
      <xdr:nvPicPr>
        <xdr:cNvPr id="11" name="Picture 10">
          <a:extLst>
            <a:ext uri="{FF2B5EF4-FFF2-40B4-BE49-F238E27FC236}">
              <a16:creationId xmlns:a16="http://schemas.microsoft.com/office/drawing/2014/main" id="{E9EBA3B3-CDB5-486F-BBE1-611EF9706E6C}"/>
            </a:ext>
          </a:extLst>
        </xdr:cNvPr>
        <xdr:cNvPicPr>
          <a:picLocks noChangeAspect="1"/>
        </xdr:cNvPicPr>
      </xdr:nvPicPr>
      <xdr:blipFill>
        <a:blip xmlns:r="http://schemas.openxmlformats.org/officeDocument/2006/relationships" r:embed="rId9"/>
        <a:stretch>
          <a:fillRect/>
        </a:stretch>
      </xdr:blipFill>
      <xdr:spPr>
        <a:xfrm>
          <a:off x="28802541" y="110278333"/>
          <a:ext cx="16721667" cy="10271124"/>
        </a:xfrm>
        <a:prstGeom prst="rect">
          <a:avLst/>
        </a:prstGeom>
      </xdr:spPr>
    </xdr:pic>
    <xdr:clientData/>
  </xdr:twoCellAnchor>
  <xdr:twoCellAnchor editAs="oneCell">
    <xdr:from>
      <xdr:col>4</xdr:col>
      <xdr:colOff>105834</xdr:colOff>
      <xdr:row>26</xdr:row>
      <xdr:rowOff>5106458</xdr:rowOff>
    </xdr:from>
    <xdr:to>
      <xdr:col>4</xdr:col>
      <xdr:colOff>16986250</xdr:colOff>
      <xdr:row>27</xdr:row>
      <xdr:rowOff>5053542</xdr:rowOff>
    </xdr:to>
    <xdr:pic>
      <xdr:nvPicPr>
        <xdr:cNvPr id="12" name="Picture 11">
          <a:extLst>
            <a:ext uri="{FF2B5EF4-FFF2-40B4-BE49-F238E27FC236}">
              <a16:creationId xmlns:a16="http://schemas.microsoft.com/office/drawing/2014/main" id="{04DDE15A-31BA-4005-BAB4-9231D01AEE9D}"/>
            </a:ext>
          </a:extLst>
        </xdr:cNvPr>
        <xdr:cNvPicPr>
          <a:picLocks noChangeAspect="1"/>
        </xdr:cNvPicPr>
      </xdr:nvPicPr>
      <xdr:blipFill>
        <a:blip xmlns:r="http://schemas.openxmlformats.org/officeDocument/2006/relationships" r:embed="rId10"/>
        <a:stretch>
          <a:fillRect/>
        </a:stretch>
      </xdr:blipFill>
      <xdr:spPr>
        <a:xfrm>
          <a:off x="28776084" y="125740583"/>
          <a:ext cx="16880416" cy="51477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ur32240_claropr_com/Documents/Documents/CORPORATIVO/Boletines%20Corp%20y%20PYMES/2021/3%20Marzo%202021/Tablas%20Ofertas%20Financiamiento%2025%20de%20marzo%20al%2014%20de%20abril%20de%202021%20-%20PYM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ertas Equipos en Portafolio"/>
      <sheetName val="Ofertas Equipos en Li"/>
      <sheetName val="Ofertas Planes y Bonos"/>
      <sheetName val="PLANES DE LISTA"/>
      <sheetName val="PLANES PROMOCIONALES DE LISTA"/>
    </sheetNames>
    <sheetDataSet>
      <sheetData sheetId="0">
        <row r="3">
          <cell r="D3" t="str">
            <v>EQUIPOS QUE APLICAN
(Si alguno)</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C8FEF-BF0F-4B98-9DEB-EB93B2F4D517}">
  <sheetPr codeName="Sheet1">
    <tabColor theme="2" tint="-0.499984740745262"/>
  </sheetPr>
  <dimension ref="A1:Z86"/>
  <sheetViews>
    <sheetView showGridLines="0" tabSelected="1" zoomScale="30" zoomScaleNormal="30" zoomScaleSheetLayoutView="19" workbookViewId="0">
      <selection activeCell="C19" sqref="C19"/>
    </sheetView>
  </sheetViews>
  <sheetFormatPr defaultColWidth="9.42578125" defaultRowHeight="27.6" customHeight="1"/>
  <cols>
    <col min="1" max="1" width="77.140625" style="2" customWidth="1"/>
    <col min="2" max="2" width="108.42578125" style="6" customWidth="1"/>
    <col min="3" max="3" width="38.7109375" style="6" customWidth="1"/>
    <col min="4" max="4" width="47.7109375" style="6" customWidth="1"/>
    <col min="5" max="6" width="46.85546875" style="6" customWidth="1"/>
    <col min="7" max="7" width="46.85546875" style="6" hidden="1" customWidth="1"/>
    <col min="8" max="8" width="55.85546875" style="6" hidden="1" customWidth="1"/>
    <col min="9" max="9" width="38.5703125" style="6" hidden="1" customWidth="1"/>
    <col min="10" max="10" width="52.42578125" style="6" customWidth="1"/>
    <col min="11" max="12" width="52.140625" style="6" customWidth="1"/>
    <col min="13" max="13" width="38.7109375" style="6" hidden="1" customWidth="1"/>
    <col min="14" max="14" width="52.42578125" style="6" customWidth="1"/>
    <col min="15" max="15" width="52.5703125" style="6" customWidth="1"/>
    <col min="16" max="17" width="38.28515625" style="6" hidden="1" customWidth="1"/>
    <col min="18" max="18" width="63.7109375" style="6" customWidth="1"/>
    <col min="19" max="19" width="63" style="6" customWidth="1"/>
    <col min="20" max="20" width="64.42578125" style="6" customWidth="1"/>
    <col min="21" max="21" width="63" style="6" customWidth="1"/>
    <col min="22" max="23" width="38.28515625" style="6" hidden="1" customWidth="1"/>
    <col min="24" max="24" width="52.42578125" style="6" customWidth="1"/>
    <col min="25" max="25" width="225.5703125" style="6" customWidth="1"/>
    <col min="26" max="16384" width="9.42578125" style="3"/>
  </cols>
  <sheetData>
    <row r="1" spans="1:25" ht="27.6" customHeight="1" thickBot="1">
      <c r="D1" s="6">
        <v>130</v>
      </c>
      <c r="G1" s="6">
        <v>250</v>
      </c>
      <c r="J1" s="6">
        <v>250</v>
      </c>
      <c r="N1" s="6">
        <v>300</v>
      </c>
      <c r="R1" s="6">
        <v>400</v>
      </c>
      <c r="T1" s="6">
        <v>500</v>
      </c>
    </row>
    <row r="2" spans="1:25" s="64" customFormat="1" ht="126" customHeight="1" thickBot="1">
      <c r="A2" s="199" t="s">
        <v>281</v>
      </c>
      <c r="B2" s="200"/>
      <c r="C2" s="200"/>
      <c r="D2" s="200"/>
      <c r="E2" s="200"/>
      <c r="F2" s="200"/>
      <c r="G2" s="200"/>
      <c r="H2" s="200"/>
      <c r="I2" s="200"/>
      <c r="J2" s="200"/>
      <c r="K2" s="200"/>
      <c r="L2" s="200"/>
      <c r="M2" s="200"/>
      <c r="N2" s="200"/>
      <c r="O2" s="200"/>
      <c r="P2" s="200"/>
      <c r="Q2" s="200"/>
      <c r="R2" s="200"/>
      <c r="S2" s="200"/>
      <c r="T2" s="200"/>
      <c r="U2" s="200"/>
      <c r="V2" s="200"/>
      <c r="W2" s="200"/>
      <c r="X2" s="200"/>
      <c r="Y2" s="201"/>
    </row>
    <row r="3" spans="1:25" s="1" customFormat="1" ht="154.5" customHeight="1" thickBot="1">
      <c r="A3" s="202" t="s">
        <v>92</v>
      </c>
      <c r="B3" s="203"/>
      <c r="C3" s="203"/>
      <c r="D3" s="203"/>
      <c r="E3" s="203"/>
      <c r="F3" s="203"/>
      <c r="G3" s="203"/>
      <c r="H3" s="203"/>
      <c r="I3" s="203"/>
      <c r="J3" s="203"/>
      <c r="K3" s="203"/>
      <c r="L3" s="203"/>
      <c r="M3" s="203"/>
      <c r="N3" s="203"/>
      <c r="O3" s="203"/>
      <c r="P3" s="203"/>
      <c r="Q3" s="203"/>
      <c r="R3" s="203"/>
      <c r="S3" s="203"/>
      <c r="T3" s="203"/>
      <c r="U3" s="203"/>
      <c r="V3" s="203"/>
      <c r="W3" s="203"/>
      <c r="X3" s="203"/>
      <c r="Y3" s="204"/>
    </row>
    <row r="4" spans="1:25" s="65" customFormat="1" ht="85.5" customHeight="1" thickBot="1">
      <c r="A4" s="77" t="s">
        <v>43</v>
      </c>
      <c r="B4" s="78" t="s">
        <v>44</v>
      </c>
      <c r="C4" s="161" t="s">
        <v>45</v>
      </c>
      <c r="D4" s="192" t="s">
        <v>77</v>
      </c>
      <c r="E4" s="193"/>
      <c r="F4" s="193"/>
      <c r="G4" s="193"/>
      <c r="H4" s="193"/>
      <c r="I4" s="194"/>
      <c r="J4" s="192" t="s">
        <v>223</v>
      </c>
      <c r="K4" s="193"/>
      <c r="L4" s="193"/>
      <c r="M4" s="193"/>
      <c r="N4" s="192" t="s">
        <v>53</v>
      </c>
      <c r="O4" s="193"/>
      <c r="P4" s="193"/>
      <c r="Q4" s="193"/>
      <c r="R4" s="193"/>
      <c r="S4" s="194"/>
      <c r="T4" s="195" t="s">
        <v>89</v>
      </c>
      <c r="U4" s="196"/>
      <c r="V4" s="196"/>
      <c r="W4" s="197"/>
      <c r="X4" s="205" t="s">
        <v>39</v>
      </c>
      <c r="Y4" s="207" t="s">
        <v>224</v>
      </c>
    </row>
    <row r="5" spans="1:25" s="65" customFormat="1" ht="130.5" customHeight="1">
      <c r="A5" s="79"/>
      <c r="B5" s="80"/>
      <c r="C5" s="81"/>
      <c r="D5" s="90" t="s">
        <v>90</v>
      </c>
      <c r="E5" s="91" t="s">
        <v>46</v>
      </c>
      <c r="F5" s="92" t="s">
        <v>47</v>
      </c>
      <c r="G5" s="93" t="s">
        <v>79</v>
      </c>
      <c r="H5" s="91" t="s">
        <v>46</v>
      </c>
      <c r="I5" s="92" t="s">
        <v>47</v>
      </c>
      <c r="J5" s="82" t="s">
        <v>79</v>
      </c>
      <c r="K5" s="83" t="s">
        <v>46</v>
      </c>
      <c r="L5" s="83" t="s">
        <v>47</v>
      </c>
      <c r="M5" s="85" t="s">
        <v>48</v>
      </c>
      <c r="N5" s="82" t="s">
        <v>91</v>
      </c>
      <c r="O5" s="83" t="s">
        <v>46</v>
      </c>
      <c r="P5" s="83" t="s">
        <v>47</v>
      </c>
      <c r="Q5" s="83" t="s">
        <v>48</v>
      </c>
      <c r="R5" s="86" t="s">
        <v>80</v>
      </c>
      <c r="S5" s="84" t="s">
        <v>47</v>
      </c>
      <c r="T5" s="87" t="s">
        <v>81</v>
      </c>
      <c r="U5" s="88" t="s">
        <v>46</v>
      </c>
      <c r="V5" s="88" t="s">
        <v>47</v>
      </c>
      <c r="W5" s="89" t="s">
        <v>48</v>
      </c>
      <c r="X5" s="206"/>
      <c r="Y5" s="208"/>
    </row>
    <row r="6" spans="1:25" s="60" customFormat="1" ht="44.25" customHeight="1">
      <c r="A6" s="169" t="s">
        <v>51</v>
      </c>
      <c r="B6" s="169" t="s">
        <v>200</v>
      </c>
      <c r="C6" s="170">
        <v>69.989999999999995</v>
      </c>
      <c r="D6" s="198" t="s">
        <v>195</v>
      </c>
      <c r="E6" s="190"/>
      <c r="F6" s="191"/>
      <c r="G6" s="189" t="s">
        <v>93</v>
      </c>
      <c r="H6" s="190"/>
      <c r="I6" s="191"/>
      <c r="J6" s="189" t="s">
        <v>195</v>
      </c>
      <c r="K6" s="190"/>
      <c r="L6" s="190"/>
      <c r="M6" s="191"/>
      <c r="N6" s="182" t="s">
        <v>195</v>
      </c>
      <c r="O6" s="183"/>
      <c r="P6" s="183"/>
      <c r="Q6" s="184"/>
      <c r="R6" s="182" t="s">
        <v>195</v>
      </c>
      <c r="S6" s="184"/>
      <c r="T6" s="182" t="s">
        <v>195</v>
      </c>
      <c r="U6" s="183"/>
      <c r="V6" s="183"/>
      <c r="W6" s="184"/>
      <c r="X6" s="206"/>
      <c r="Y6" s="208"/>
    </row>
    <row r="7" spans="1:25" s="138" customFormat="1" ht="47.25" customHeight="1">
      <c r="A7" s="171" t="s">
        <v>57</v>
      </c>
      <c r="B7" s="171" t="s">
        <v>263</v>
      </c>
      <c r="C7" s="172">
        <v>119.99</v>
      </c>
      <c r="D7" s="182" t="s">
        <v>73</v>
      </c>
      <c r="E7" s="183"/>
      <c r="F7" s="184"/>
      <c r="G7" s="182" t="s">
        <v>93</v>
      </c>
      <c r="H7" s="183"/>
      <c r="I7" s="184"/>
      <c r="J7" s="182" t="s">
        <v>73</v>
      </c>
      <c r="K7" s="183"/>
      <c r="L7" s="183"/>
      <c r="M7" s="184"/>
      <c r="N7" s="182" t="s">
        <v>73</v>
      </c>
      <c r="O7" s="183"/>
      <c r="P7" s="183"/>
      <c r="Q7" s="184"/>
      <c r="R7" s="182" t="s">
        <v>73</v>
      </c>
      <c r="S7" s="184"/>
      <c r="T7" s="182" t="s">
        <v>73</v>
      </c>
      <c r="U7" s="183"/>
      <c r="V7" s="183"/>
      <c r="W7" s="184"/>
      <c r="X7" s="206"/>
      <c r="Y7" s="208"/>
    </row>
    <row r="8" spans="1:25" s="162" customFormat="1" ht="54.75" customHeight="1">
      <c r="A8" s="171" t="s">
        <v>49</v>
      </c>
      <c r="B8" s="171" t="s">
        <v>208</v>
      </c>
      <c r="C8" s="172">
        <v>199.99</v>
      </c>
      <c r="D8" s="173">
        <f t="shared" ref="D8" si="0">+C8-$D$1</f>
        <v>69.990000000000009</v>
      </c>
      <c r="E8" s="173">
        <f t="shared" ref="E8" si="1">+D8/24</f>
        <v>2.9162500000000002</v>
      </c>
      <c r="F8" s="173">
        <f>+D8/30</f>
        <v>2.3330000000000002</v>
      </c>
      <c r="G8" s="182" t="s">
        <v>93</v>
      </c>
      <c r="H8" s="183"/>
      <c r="I8" s="184"/>
      <c r="J8" s="182" t="s">
        <v>225</v>
      </c>
      <c r="K8" s="183"/>
      <c r="L8" s="183"/>
      <c r="M8" s="184"/>
      <c r="N8" s="182" t="s">
        <v>225</v>
      </c>
      <c r="O8" s="183"/>
      <c r="P8" s="183"/>
      <c r="Q8" s="184"/>
      <c r="R8" s="182" t="s">
        <v>225</v>
      </c>
      <c r="S8" s="184"/>
      <c r="T8" s="182" t="s">
        <v>225</v>
      </c>
      <c r="U8" s="183"/>
      <c r="V8" s="183"/>
      <c r="W8" s="184"/>
      <c r="X8" s="206"/>
      <c r="Y8" s="208"/>
    </row>
    <row r="9" spans="1:25" s="60" customFormat="1" ht="45" customHeight="1">
      <c r="A9" s="171" t="s">
        <v>51</v>
      </c>
      <c r="B9" s="171" t="s">
        <v>231</v>
      </c>
      <c r="C9" s="172">
        <v>149.99</v>
      </c>
      <c r="D9" s="182" t="s">
        <v>73</v>
      </c>
      <c r="E9" s="183"/>
      <c r="F9" s="184"/>
      <c r="G9" s="182" t="s">
        <v>93</v>
      </c>
      <c r="H9" s="183"/>
      <c r="I9" s="184"/>
      <c r="J9" s="182" t="s">
        <v>73</v>
      </c>
      <c r="K9" s="183"/>
      <c r="L9" s="183"/>
      <c r="M9" s="184"/>
      <c r="N9" s="182" t="s">
        <v>73</v>
      </c>
      <c r="O9" s="183"/>
      <c r="P9" s="183"/>
      <c r="Q9" s="184"/>
      <c r="R9" s="182" t="s">
        <v>73</v>
      </c>
      <c r="S9" s="184"/>
      <c r="T9" s="182" t="s">
        <v>73</v>
      </c>
      <c r="U9" s="183"/>
      <c r="V9" s="183"/>
      <c r="W9" s="184"/>
      <c r="X9" s="206"/>
      <c r="Y9" s="208"/>
    </row>
    <row r="10" spans="1:25" s="70" customFormat="1" ht="45" customHeight="1">
      <c r="A10" s="174" t="s">
        <v>49</v>
      </c>
      <c r="B10" s="174" t="s">
        <v>218</v>
      </c>
      <c r="C10" s="175">
        <v>259.99</v>
      </c>
      <c r="D10" s="176">
        <f t="shared" ref="D10:D30" si="2">+C10-$D$1</f>
        <v>129.99</v>
      </c>
      <c r="E10" s="176">
        <f t="shared" ref="E10:E30" si="3">+D10/24</f>
        <v>5.4162500000000007</v>
      </c>
      <c r="F10" s="176">
        <f>+D10/30</f>
        <v>4.3330000000000002</v>
      </c>
      <c r="G10" s="177"/>
      <c r="H10" s="177"/>
      <c r="I10" s="177"/>
      <c r="J10" s="189" t="s">
        <v>225</v>
      </c>
      <c r="K10" s="190"/>
      <c r="L10" s="190"/>
      <c r="M10" s="191"/>
      <c r="N10" s="189" t="s">
        <v>225</v>
      </c>
      <c r="O10" s="190"/>
      <c r="P10" s="190"/>
      <c r="Q10" s="191"/>
      <c r="R10" s="189" t="s">
        <v>225</v>
      </c>
      <c r="S10" s="191"/>
      <c r="T10" s="189" t="s">
        <v>225</v>
      </c>
      <c r="U10" s="190"/>
      <c r="V10" s="190"/>
      <c r="W10" s="191"/>
      <c r="X10" s="206"/>
      <c r="Y10" s="208"/>
    </row>
    <row r="11" spans="1:25" s="61" customFormat="1" ht="45" customHeight="1">
      <c r="A11" s="171" t="s">
        <v>229</v>
      </c>
      <c r="B11" s="171" t="s">
        <v>232</v>
      </c>
      <c r="C11" s="172">
        <v>279.99</v>
      </c>
      <c r="D11" s="173">
        <f t="shared" si="2"/>
        <v>149.99</v>
      </c>
      <c r="E11" s="173">
        <f t="shared" si="3"/>
        <v>6.2495833333333337</v>
      </c>
      <c r="F11" s="173">
        <f>+D11/30</f>
        <v>4.9996666666666671</v>
      </c>
      <c r="G11" s="182" t="s">
        <v>93</v>
      </c>
      <c r="H11" s="183"/>
      <c r="I11" s="184"/>
      <c r="J11" s="182" t="s">
        <v>230</v>
      </c>
      <c r="K11" s="183"/>
      <c r="L11" s="183"/>
      <c r="M11" s="184"/>
      <c r="N11" s="182" t="s">
        <v>230</v>
      </c>
      <c r="O11" s="183"/>
      <c r="P11" s="183"/>
      <c r="Q11" s="184"/>
      <c r="R11" s="182" t="s">
        <v>230</v>
      </c>
      <c r="S11" s="184"/>
      <c r="T11" s="182" t="s">
        <v>230</v>
      </c>
      <c r="U11" s="183"/>
      <c r="V11" s="183"/>
      <c r="W11" s="184"/>
      <c r="X11" s="206"/>
      <c r="Y11" s="208"/>
    </row>
    <row r="12" spans="1:25" s="61" customFormat="1" ht="45" customHeight="1">
      <c r="A12" s="171" t="s">
        <v>49</v>
      </c>
      <c r="B12" s="171" t="s">
        <v>215</v>
      </c>
      <c r="C12" s="172">
        <v>349.99</v>
      </c>
      <c r="D12" s="173">
        <f t="shared" si="2"/>
        <v>219.99</v>
      </c>
      <c r="E12" s="173">
        <f t="shared" si="3"/>
        <v>9.1662499999999998</v>
      </c>
      <c r="F12" s="173">
        <f t="shared" ref="F12:F30" si="4">+D12/30</f>
        <v>7.3330000000000002</v>
      </c>
      <c r="G12" s="182" t="s">
        <v>93</v>
      </c>
      <c r="H12" s="183"/>
      <c r="I12" s="184"/>
      <c r="J12" s="173">
        <f>+C12-$J$1</f>
        <v>99.990000000000009</v>
      </c>
      <c r="K12" s="173">
        <f t="shared" ref="K12:K15" si="5">+J12/24</f>
        <v>4.1662500000000007</v>
      </c>
      <c r="L12" s="173">
        <f t="shared" ref="L12:L15" si="6">+J12/30</f>
        <v>3.3330000000000002</v>
      </c>
      <c r="M12" s="178"/>
      <c r="N12" s="182" t="s">
        <v>85</v>
      </c>
      <c r="O12" s="183"/>
      <c r="P12" s="183"/>
      <c r="Q12" s="184"/>
      <c r="R12" s="182" t="s">
        <v>85</v>
      </c>
      <c r="S12" s="184"/>
      <c r="T12" s="182" t="s">
        <v>85</v>
      </c>
      <c r="U12" s="183"/>
      <c r="V12" s="183"/>
      <c r="W12" s="184"/>
      <c r="X12" s="206"/>
      <c r="Y12" s="208"/>
    </row>
    <row r="13" spans="1:25" s="70" customFormat="1" ht="45" customHeight="1">
      <c r="A13" s="171" t="s">
        <v>51</v>
      </c>
      <c r="B13" s="171" t="s">
        <v>206</v>
      </c>
      <c r="C13" s="172">
        <v>499.99</v>
      </c>
      <c r="D13" s="173">
        <f t="shared" si="2"/>
        <v>369.99</v>
      </c>
      <c r="E13" s="173">
        <f t="shared" si="3"/>
        <v>15.41625</v>
      </c>
      <c r="F13" s="173">
        <f t="shared" si="4"/>
        <v>12.333</v>
      </c>
      <c r="G13" s="182" t="s">
        <v>93</v>
      </c>
      <c r="H13" s="183"/>
      <c r="I13" s="184"/>
      <c r="J13" s="173">
        <f>+C13-$J$1</f>
        <v>249.99</v>
      </c>
      <c r="K13" s="173">
        <f t="shared" si="5"/>
        <v>10.41625</v>
      </c>
      <c r="L13" s="173">
        <f t="shared" si="6"/>
        <v>8.3330000000000002</v>
      </c>
      <c r="M13" s="173">
        <f t="shared" ref="M13:M15" si="7">+J13/36</f>
        <v>6.9441666666666668</v>
      </c>
      <c r="N13" s="182" t="s">
        <v>85</v>
      </c>
      <c r="O13" s="183"/>
      <c r="P13" s="183"/>
      <c r="Q13" s="184"/>
      <c r="R13" s="182" t="s">
        <v>85</v>
      </c>
      <c r="S13" s="184"/>
      <c r="T13" s="182" t="s">
        <v>85</v>
      </c>
      <c r="U13" s="183"/>
      <c r="V13" s="183"/>
      <c r="W13" s="184"/>
      <c r="X13" s="206"/>
      <c r="Y13" s="208"/>
    </row>
    <row r="14" spans="1:25" customFormat="1" ht="45" customHeight="1">
      <c r="A14" s="171" t="s">
        <v>49</v>
      </c>
      <c r="B14" s="171" t="s">
        <v>264</v>
      </c>
      <c r="C14" s="172">
        <v>589.99</v>
      </c>
      <c r="D14" s="173">
        <f>+C14-$D$1</f>
        <v>459.99</v>
      </c>
      <c r="E14" s="173">
        <f t="shared" si="3"/>
        <v>19.166250000000002</v>
      </c>
      <c r="F14" s="173">
        <f t="shared" si="4"/>
        <v>15.333</v>
      </c>
      <c r="G14" s="182" t="s">
        <v>93</v>
      </c>
      <c r="H14" s="183"/>
      <c r="I14" s="184"/>
      <c r="J14" s="173">
        <f>+C14-$J$1</f>
        <v>339.99</v>
      </c>
      <c r="K14" s="173">
        <f t="shared" si="5"/>
        <v>14.16625</v>
      </c>
      <c r="L14" s="173">
        <f t="shared" si="6"/>
        <v>11.333</v>
      </c>
      <c r="M14" s="173">
        <f t="shared" si="7"/>
        <v>9.4441666666666677</v>
      </c>
      <c r="N14" s="182" t="s">
        <v>85</v>
      </c>
      <c r="O14" s="183"/>
      <c r="P14" s="183"/>
      <c r="Q14" s="184"/>
      <c r="R14" s="182" t="s">
        <v>85</v>
      </c>
      <c r="S14" s="184"/>
      <c r="T14" s="182" t="s">
        <v>85</v>
      </c>
      <c r="U14" s="183"/>
      <c r="V14" s="183"/>
      <c r="W14" s="184"/>
      <c r="X14" s="206"/>
      <c r="Y14" s="208"/>
    </row>
    <row r="15" spans="1:25" s="60" customFormat="1" ht="45" customHeight="1">
      <c r="A15" s="171" t="s">
        <v>216</v>
      </c>
      <c r="B15" s="171" t="s">
        <v>217</v>
      </c>
      <c r="C15" s="172">
        <v>589.99</v>
      </c>
      <c r="D15" s="173">
        <f t="shared" ref="D15" si="8">+C15-$D$1</f>
        <v>459.99</v>
      </c>
      <c r="E15" s="173">
        <f t="shared" si="3"/>
        <v>19.166250000000002</v>
      </c>
      <c r="F15" s="173">
        <f t="shared" si="4"/>
        <v>15.333</v>
      </c>
      <c r="G15" s="182" t="s">
        <v>93</v>
      </c>
      <c r="H15" s="183"/>
      <c r="I15" s="184"/>
      <c r="J15" s="173">
        <f t="shared" ref="J15" si="9">+C15-$J$1</f>
        <v>339.99</v>
      </c>
      <c r="K15" s="173">
        <f t="shared" si="5"/>
        <v>14.16625</v>
      </c>
      <c r="L15" s="173">
        <f t="shared" si="6"/>
        <v>11.333</v>
      </c>
      <c r="M15" s="173">
        <f t="shared" si="7"/>
        <v>9.4441666666666677</v>
      </c>
      <c r="N15" s="185" t="s">
        <v>214</v>
      </c>
      <c r="O15" s="186"/>
      <c r="P15" s="186"/>
      <c r="Q15" s="186"/>
      <c r="R15" s="186"/>
      <c r="S15" s="186"/>
      <c r="T15" s="186"/>
      <c r="U15" s="186"/>
      <c r="V15" s="186"/>
      <c r="W15" s="187"/>
      <c r="X15" s="206"/>
      <c r="Y15" s="208"/>
    </row>
    <row r="16" spans="1:25" s="157" customFormat="1" ht="39" customHeight="1">
      <c r="A16" s="180" t="s">
        <v>207</v>
      </c>
      <c r="B16" s="180" t="s">
        <v>209</v>
      </c>
      <c r="C16" s="181">
        <v>799.99</v>
      </c>
      <c r="D16" s="188" t="s">
        <v>73</v>
      </c>
      <c r="E16" s="188"/>
      <c r="F16" s="188"/>
      <c r="G16" s="188" t="s">
        <v>93</v>
      </c>
      <c r="H16" s="188"/>
      <c r="I16" s="188"/>
      <c r="J16" s="188" t="s">
        <v>73</v>
      </c>
      <c r="K16" s="188"/>
      <c r="L16" s="188"/>
      <c r="M16" s="188"/>
      <c r="N16" s="188" t="s">
        <v>73</v>
      </c>
      <c r="O16" s="188"/>
      <c r="P16" s="188"/>
      <c r="Q16" s="188"/>
      <c r="R16" s="188" t="s">
        <v>73</v>
      </c>
      <c r="S16" s="188"/>
      <c r="T16" s="188" t="s">
        <v>73</v>
      </c>
      <c r="U16" s="188"/>
      <c r="V16" s="188"/>
      <c r="W16" s="188"/>
      <c r="X16" s="206"/>
      <c r="Y16" s="208"/>
    </row>
    <row r="17" spans="1:25" s="95" customFormat="1" ht="51.75" customHeight="1">
      <c r="A17" s="171" t="s">
        <v>49</v>
      </c>
      <c r="B17" s="171" t="s">
        <v>210</v>
      </c>
      <c r="C17" s="172">
        <v>999.99</v>
      </c>
      <c r="D17" s="173">
        <f t="shared" si="2"/>
        <v>869.99</v>
      </c>
      <c r="E17" s="173">
        <f t="shared" si="3"/>
        <v>36.249583333333334</v>
      </c>
      <c r="F17" s="173">
        <f t="shared" si="4"/>
        <v>28.999666666666666</v>
      </c>
      <c r="G17" s="182" t="s">
        <v>93</v>
      </c>
      <c r="H17" s="183"/>
      <c r="I17" s="184"/>
      <c r="J17" s="173" t="e">
        <f>+#REF!-$J$1</f>
        <v>#REF!</v>
      </c>
      <c r="K17" s="173" t="e">
        <f>+#REF!/24</f>
        <v>#REF!</v>
      </c>
      <c r="L17" s="173" t="e">
        <f>+#REF!/30</f>
        <v>#REF!</v>
      </c>
      <c r="M17" s="173" t="e">
        <f>+#REF!/36</f>
        <v>#REF!</v>
      </c>
      <c r="N17" s="185" t="s">
        <v>201</v>
      </c>
      <c r="O17" s="186"/>
      <c r="P17" s="186"/>
      <c r="Q17" s="186"/>
      <c r="R17" s="186"/>
      <c r="S17" s="186"/>
      <c r="T17" s="186"/>
      <c r="U17" s="187"/>
      <c r="V17" s="173">
        <f t="shared" ref="V17" si="10">+T17/30</f>
        <v>0</v>
      </c>
      <c r="W17" s="173">
        <f t="shared" ref="W17" si="11">+T17/36</f>
        <v>0</v>
      </c>
      <c r="X17" s="206"/>
      <c r="Y17" s="208"/>
    </row>
    <row r="18" spans="1:25" s="95" customFormat="1" ht="48.75" customHeight="1">
      <c r="A18" s="171" t="s">
        <v>211</v>
      </c>
      <c r="B18" s="171" t="s">
        <v>213</v>
      </c>
      <c r="C18" s="172">
        <v>599.99</v>
      </c>
      <c r="D18" s="173">
        <f t="shared" si="2"/>
        <v>469.99</v>
      </c>
      <c r="E18" s="173">
        <f t="shared" si="3"/>
        <v>19.582916666666666</v>
      </c>
      <c r="F18" s="173">
        <f t="shared" si="4"/>
        <v>15.666333333333334</v>
      </c>
      <c r="G18" s="182" t="s">
        <v>93</v>
      </c>
      <c r="H18" s="183"/>
      <c r="I18" s="184"/>
      <c r="J18" s="182" t="s">
        <v>230</v>
      </c>
      <c r="K18" s="183"/>
      <c r="L18" s="183"/>
      <c r="M18" s="184"/>
      <c r="N18" s="182" t="s">
        <v>230</v>
      </c>
      <c r="O18" s="183"/>
      <c r="P18" s="183"/>
      <c r="Q18" s="184"/>
      <c r="R18" s="182" t="s">
        <v>230</v>
      </c>
      <c r="S18" s="184"/>
      <c r="T18" s="182" t="s">
        <v>230</v>
      </c>
      <c r="U18" s="183"/>
      <c r="V18" s="183"/>
      <c r="W18" s="184"/>
      <c r="X18" s="206"/>
      <c r="Y18" s="208"/>
    </row>
    <row r="19" spans="1:25" s="95" customFormat="1" ht="48.75" customHeight="1">
      <c r="A19" s="171" t="s">
        <v>50</v>
      </c>
      <c r="B19" s="171" t="s">
        <v>212</v>
      </c>
      <c r="C19" s="172">
        <v>1099.99</v>
      </c>
      <c r="D19" s="173">
        <f t="shared" si="2"/>
        <v>969.99</v>
      </c>
      <c r="E19" s="173">
        <f t="shared" si="3"/>
        <v>40.416249999999998</v>
      </c>
      <c r="F19" s="173">
        <f t="shared" si="4"/>
        <v>32.332999999999998</v>
      </c>
      <c r="G19" s="182" t="s">
        <v>93</v>
      </c>
      <c r="H19" s="183"/>
      <c r="I19" s="184"/>
      <c r="J19" s="173">
        <f t="shared" ref="J19:J30" si="12">+C19-$J$1</f>
        <v>849.99</v>
      </c>
      <c r="K19" s="173">
        <f t="shared" ref="K19:K30" si="13">+J19/24</f>
        <v>35.416249999999998</v>
      </c>
      <c r="L19" s="173">
        <f t="shared" ref="L19:L30" si="14">+J19/30</f>
        <v>28.333000000000002</v>
      </c>
      <c r="M19" s="173">
        <f t="shared" ref="M19:M30" si="15">+J19/36</f>
        <v>23.610833333333332</v>
      </c>
      <c r="N19" s="185" t="s">
        <v>201</v>
      </c>
      <c r="O19" s="186"/>
      <c r="P19" s="186"/>
      <c r="Q19" s="186"/>
      <c r="R19" s="186"/>
      <c r="S19" s="186"/>
      <c r="T19" s="186"/>
      <c r="U19" s="187"/>
      <c r="V19" s="173">
        <f t="shared" ref="V19:V20" si="16">+T19/30</f>
        <v>0</v>
      </c>
      <c r="W19" s="173">
        <f t="shared" ref="W19:W20" si="17">+T19/36</f>
        <v>0</v>
      </c>
      <c r="X19" s="206"/>
      <c r="Y19" s="208"/>
    </row>
    <row r="20" spans="1:25" s="61" customFormat="1" ht="65.25" customHeight="1">
      <c r="A20" s="171" t="s">
        <v>49</v>
      </c>
      <c r="B20" s="171" t="s">
        <v>236</v>
      </c>
      <c r="C20" s="179">
        <v>799.99</v>
      </c>
      <c r="D20" s="173">
        <f t="shared" si="2"/>
        <v>669.99</v>
      </c>
      <c r="E20" s="173">
        <f t="shared" si="3"/>
        <v>27.916250000000002</v>
      </c>
      <c r="F20" s="173">
        <f t="shared" si="4"/>
        <v>22.333000000000002</v>
      </c>
      <c r="G20" s="182" t="s">
        <v>93</v>
      </c>
      <c r="H20" s="183"/>
      <c r="I20" s="184"/>
      <c r="J20" s="173">
        <f t="shared" si="12"/>
        <v>549.99</v>
      </c>
      <c r="K20" s="173">
        <f t="shared" si="13"/>
        <v>22.916250000000002</v>
      </c>
      <c r="L20" s="173">
        <f t="shared" si="14"/>
        <v>18.333000000000002</v>
      </c>
      <c r="M20" s="173">
        <f t="shared" si="15"/>
        <v>15.2775</v>
      </c>
      <c r="N20" s="185" t="s">
        <v>201</v>
      </c>
      <c r="O20" s="186"/>
      <c r="P20" s="186"/>
      <c r="Q20" s="186"/>
      <c r="R20" s="186"/>
      <c r="S20" s="186"/>
      <c r="T20" s="186"/>
      <c r="U20" s="187"/>
      <c r="V20" s="173">
        <f t="shared" si="16"/>
        <v>0</v>
      </c>
      <c r="W20" s="173">
        <f t="shared" si="17"/>
        <v>0</v>
      </c>
      <c r="X20" s="206"/>
      <c r="Y20" s="208"/>
    </row>
    <row r="21" spans="1:25" s="60" customFormat="1" ht="65.25" customHeight="1">
      <c r="A21" s="180" t="s">
        <v>52</v>
      </c>
      <c r="B21" s="180" t="s">
        <v>202</v>
      </c>
      <c r="C21" s="181">
        <v>729.99</v>
      </c>
      <c r="D21" s="188" t="s">
        <v>73</v>
      </c>
      <c r="E21" s="188"/>
      <c r="F21" s="188"/>
      <c r="G21" s="188" t="s">
        <v>93</v>
      </c>
      <c r="H21" s="188"/>
      <c r="I21" s="188"/>
      <c r="J21" s="188" t="s">
        <v>73</v>
      </c>
      <c r="K21" s="188"/>
      <c r="L21" s="188"/>
      <c r="M21" s="188"/>
      <c r="N21" s="188" t="s">
        <v>73</v>
      </c>
      <c r="O21" s="188"/>
      <c r="P21" s="188"/>
      <c r="Q21" s="188"/>
      <c r="R21" s="188" t="s">
        <v>73</v>
      </c>
      <c r="S21" s="188"/>
      <c r="T21" s="188" t="s">
        <v>73</v>
      </c>
      <c r="U21" s="188"/>
      <c r="V21" s="188"/>
      <c r="W21" s="188"/>
      <c r="X21" s="206"/>
      <c r="Y21" s="208"/>
    </row>
    <row r="22" spans="1:25" s="61" customFormat="1" ht="65.25" customHeight="1">
      <c r="A22" s="171" t="s">
        <v>52</v>
      </c>
      <c r="B22" s="171" t="s">
        <v>265</v>
      </c>
      <c r="C22" s="172">
        <v>829.99</v>
      </c>
      <c r="D22" s="173">
        <f t="shared" si="2"/>
        <v>699.99</v>
      </c>
      <c r="E22" s="173">
        <f t="shared" si="3"/>
        <v>29.166250000000002</v>
      </c>
      <c r="F22" s="173">
        <f t="shared" si="4"/>
        <v>23.333000000000002</v>
      </c>
      <c r="G22" s="182" t="s">
        <v>93</v>
      </c>
      <c r="H22" s="183"/>
      <c r="I22" s="184"/>
      <c r="J22" s="173">
        <f t="shared" si="12"/>
        <v>579.99</v>
      </c>
      <c r="K22" s="173">
        <f t="shared" si="13"/>
        <v>24.166250000000002</v>
      </c>
      <c r="L22" s="173">
        <f t="shared" si="14"/>
        <v>19.333000000000002</v>
      </c>
      <c r="M22" s="173">
        <f t="shared" si="15"/>
        <v>16.110833333333332</v>
      </c>
      <c r="N22" s="185" t="s">
        <v>245</v>
      </c>
      <c r="O22" s="186"/>
      <c r="P22" s="186"/>
      <c r="Q22" s="186"/>
      <c r="R22" s="186"/>
      <c r="S22" s="186"/>
      <c r="T22" s="186"/>
      <c r="U22" s="186"/>
      <c r="V22" s="186"/>
      <c r="W22" s="187"/>
      <c r="X22" s="206"/>
      <c r="Y22" s="208"/>
    </row>
    <row r="23" spans="1:25" s="60" customFormat="1" ht="60" customHeight="1">
      <c r="A23" s="171" t="s">
        <v>52</v>
      </c>
      <c r="B23" s="171" t="s">
        <v>266</v>
      </c>
      <c r="C23" s="172">
        <v>999.99</v>
      </c>
      <c r="D23" s="173">
        <f t="shared" si="2"/>
        <v>869.99</v>
      </c>
      <c r="E23" s="173">
        <f t="shared" si="3"/>
        <v>36.249583333333334</v>
      </c>
      <c r="F23" s="173">
        <f t="shared" si="4"/>
        <v>28.999666666666666</v>
      </c>
      <c r="G23" s="182" t="s">
        <v>93</v>
      </c>
      <c r="H23" s="183"/>
      <c r="I23" s="184"/>
      <c r="J23" s="173">
        <f t="shared" si="12"/>
        <v>749.99</v>
      </c>
      <c r="K23" s="173">
        <f t="shared" si="13"/>
        <v>31.249583333333334</v>
      </c>
      <c r="L23" s="173">
        <f t="shared" si="14"/>
        <v>24.999666666666666</v>
      </c>
      <c r="M23" s="173">
        <f t="shared" si="15"/>
        <v>20.833055555555557</v>
      </c>
      <c r="N23" s="185" t="s">
        <v>246</v>
      </c>
      <c r="O23" s="186"/>
      <c r="P23" s="186"/>
      <c r="Q23" s="186"/>
      <c r="R23" s="186"/>
      <c r="S23" s="186"/>
      <c r="T23" s="186"/>
      <c r="U23" s="187"/>
      <c r="V23" s="173"/>
      <c r="W23" s="173"/>
      <c r="X23" s="206"/>
      <c r="Y23" s="208"/>
    </row>
    <row r="24" spans="1:25" s="61" customFormat="1" ht="65.25" customHeight="1">
      <c r="A24" s="171" t="s">
        <v>52</v>
      </c>
      <c r="B24" s="171" t="s">
        <v>267</v>
      </c>
      <c r="C24" s="172">
        <v>1099.99</v>
      </c>
      <c r="D24" s="173">
        <f t="shared" si="2"/>
        <v>969.99</v>
      </c>
      <c r="E24" s="173">
        <f t="shared" si="3"/>
        <v>40.416249999999998</v>
      </c>
      <c r="F24" s="173">
        <f t="shared" si="4"/>
        <v>32.332999999999998</v>
      </c>
      <c r="G24" s="182" t="s">
        <v>93</v>
      </c>
      <c r="H24" s="183"/>
      <c r="I24" s="184"/>
      <c r="J24" s="173">
        <f t="shared" si="12"/>
        <v>849.99</v>
      </c>
      <c r="K24" s="173">
        <f t="shared" si="13"/>
        <v>35.416249999999998</v>
      </c>
      <c r="L24" s="173">
        <f t="shared" si="14"/>
        <v>28.333000000000002</v>
      </c>
      <c r="M24" s="173">
        <f t="shared" si="15"/>
        <v>23.610833333333332</v>
      </c>
      <c r="N24" s="185" t="s">
        <v>247</v>
      </c>
      <c r="O24" s="186"/>
      <c r="P24" s="186"/>
      <c r="Q24" s="186"/>
      <c r="R24" s="186"/>
      <c r="S24" s="186"/>
      <c r="T24" s="186"/>
      <c r="U24" s="187"/>
      <c r="V24" s="173"/>
      <c r="W24" s="173"/>
      <c r="X24" s="206"/>
      <c r="Y24" s="208"/>
    </row>
    <row r="25" spans="1:25" s="61" customFormat="1" ht="65.25" customHeight="1">
      <c r="A25" s="171" t="s">
        <v>52</v>
      </c>
      <c r="B25" s="171" t="s">
        <v>268</v>
      </c>
      <c r="C25" s="172">
        <v>1199.99</v>
      </c>
      <c r="D25" s="173">
        <f t="shared" si="2"/>
        <v>1069.99</v>
      </c>
      <c r="E25" s="173">
        <f t="shared" si="3"/>
        <v>44.582916666666669</v>
      </c>
      <c r="F25" s="173">
        <f t="shared" si="4"/>
        <v>35.666333333333334</v>
      </c>
      <c r="G25" s="182" t="s">
        <v>93</v>
      </c>
      <c r="H25" s="183"/>
      <c r="I25" s="184"/>
      <c r="J25" s="173">
        <f t="shared" si="12"/>
        <v>949.99</v>
      </c>
      <c r="K25" s="173">
        <f t="shared" si="13"/>
        <v>39.582916666666669</v>
      </c>
      <c r="L25" s="173">
        <f t="shared" si="14"/>
        <v>31.666333333333334</v>
      </c>
      <c r="M25" s="173">
        <f t="shared" si="15"/>
        <v>26.388611111111111</v>
      </c>
      <c r="N25" s="185" t="s">
        <v>248</v>
      </c>
      <c r="O25" s="186"/>
      <c r="P25" s="186"/>
      <c r="Q25" s="186"/>
      <c r="R25" s="186"/>
      <c r="S25" s="186"/>
      <c r="T25" s="186"/>
      <c r="U25" s="187"/>
      <c r="V25" s="173"/>
      <c r="W25" s="173"/>
      <c r="X25" s="206"/>
      <c r="Y25" s="208"/>
    </row>
    <row r="26" spans="1:25" s="61" customFormat="1" ht="65.25" customHeight="1">
      <c r="A26" s="171" t="s">
        <v>52</v>
      </c>
      <c r="B26" s="171" t="s">
        <v>269</v>
      </c>
      <c r="C26" s="172">
        <v>1199.99</v>
      </c>
      <c r="D26" s="173">
        <f t="shared" si="2"/>
        <v>1069.99</v>
      </c>
      <c r="E26" s="173">
        <f t="shared" si="3"/>
        <v>44.582916666666669</v>
      </c>
      <c r="F26" s="173">
        <f t="shared" si="4"/>
        <v>35.666333333333334</v>
      </c>
      <c r="G26" s="182" t="s">
        <v>93</v>
      </c>
      <c r="H26" s="183"/>
      <c r="I26" s="184"/>
      <c r="J26" s="173">
        <f t="shared" si="12"/>
        <v>949.99</v>
      </c>
      <c r="K26" s="173">
        <f t="shared" si="13"/>
        <v>39.582916666666669</v>
      </c>
      <c r="L26" s="173">
        <f t="shared" si="14"/>
        <v>31.666333333333334</v>
      </c>
      <c r="M26" s="173">
        <f t="shared" si="15"/>
        <v>26.388611111111111</v>
      </c>
      <c r="N26" s="185" t="s">
        <v>247</v>
      </c>
      <c r="O26" s="186"/>
      <c r="P26" s="186"/>
      <c r="Q26" s="186"/>
      <c r="R26" s="186"/>
      <c r="S26" s="186"/>
      <c r="T26" s="186"/>
      <c r="U26" s="187"/>
      <c r="V26" s="173"/>
      <c r="W26" s="173"/>
      <c r="X26" s="206"/>
      <c r="Y26" s="208"/>
    </row>
    <row r="27" spans="1:25" s="61" customFormat="1" ht="65.25" customHeight="1">
      <c r="A27" s="171" t="s">
        <v>52</v>
      </c>
      <c r="B27" s="171" t="s">
        <v>249</v>
      </c>
      <c r="C27" s="172">
        <v>1199.99</v>
      </c>
      <c r="D27" s="173">
        <f t="shared" si="2"/>
        <v>1069.99</v>
      </c>
      <c r="E27" s="173">
        <f t="shared" si="3"/>
        <v>44.582916666666669</v>
      </c>
      <c r="F27" s="173">
        <f t="shared" si="4"/>
        <v>35.666333333333334</v>
      </c>
      <c r="G27" s="182" t="s">
        <v>93</v>
      </c>
      <c r="H27" s="183"/>
      <c r="I27" s="184"/>
      <c r="J27" s="173">
        <f t="shared" si="12"/>
        <v>949.99</v>
      </c>
      <c r="K27" s="173">
        <f t="shared" si="13"/>
        <v>39.582916666666669</v>
      </c>
      <c r="L27" s="173">
        <f t="shared" si="14"/>
        <v>31.666333333333334</v>
      </c>
      <c r="M27" s="173">
        <f t="shared" si="15"/>
        <v>26.388611111111111</v>
      </c>
      <c r="N27" s="185" t="s">
        <v>240</v>
      </c>
      <c r="O27" s="186"/>
      <c r="P27" s="186"/>
      <c r="Q27" s="186"/>
      <c r="R27" s="186"/>
      <c r="S27" s="186"/>
      <c r="T27" s="186"/>
      <c r="U27" s="187"/>
      <c r="V27" s="173"/>
      <c r="W27" s="173"/>
      <c r="X27" s="206"/>
      <c r="Y27" s="208"/>
    </row>
    <row r="28" spans="1:25" s="61" customFormat="1" ht="65.25" customHeight="1">
      <c r="A28" s="171" t="s">
        <v>52</v>
      </c>
      <c r="B28" s="171" t="s">
        <v>270</v>
      </c>
      <c r="C28" s="172">
        <v>1299.99</v>
      </c>
      <c r="D28" s="173">
        <f t="shared" si="2"/>
        <v>1169.99</v>
      </c>
      <c r="E28" s="173">
        <f t="shared" si="3"/>
        <v>48.749583333333334</v>
      </c>
      <c r="F28" s="173">
        <f t="shared" si="4"/>
        <v>38.99966666666667</v>
      </c>
      <c r="G28" s="182" t="s">
        <v>93</v>
      </c>
      <c r="H28" s="183"/>
      <c r="I28" s="184"/>
      <c r="J28" s="173">
        <f t="shared" si="12"/>
        <v>1049.99</v>
      </c>
      <c r="K28" s="173">
        <f t="shared" si="13"/>
        <v>43.749583333333334</v>
      </c>
      <c r="L28" s="173">
        <f t="shared" si="14"/>
        <v>34.99966666666667</v>
      </c>
      <c r="M28" s="173">
        <f t="shared" si="15"/>
        <v>29.166388888888889</v>
      </c>
      <c r="N28" s="185" t="s">
        <v>201</v>
      </c>
      <c r="O28" s="186"/>
      <c r="P28" s="186"/>
      <c r="Q28" s="186"/>
      <c r="R28" s="186"/>
      <c r="S28" s="186"/>
      <c r="T28" s="186"/>
      <c r="U28" s="187"/>
      <c r="V28" s="173"/>
      <c r="W28" s="173"/>
      <c r="X28" s="206"/>
      <c r="Y28" s="208"/>
    </row>
    <row r="29" spans="1:25" s="60" customFormat="1" ht="60" customHeight="1">
      <c r="A29" s="171" t="s">
        <v>52</v>
      </c>
      <c r="B29" s="171" t="s">
        <v>271</v>
      </c>
      <c r="C29" s="172">
        <v>1399.99</v>
      </c>
      <c r="D29" s="173">
        <f t="shared" si="2"/>
        <v>1269.99</v>
      </c>
      <c r="E29" s="173">
        <f t="shared" si="3"/>
        <v>52.916249999999998</v>
      </c>
      <c r="F29" s="173">
        <f t="shared" si="4"/>
        <v>42.332999999999998</v>
      </c>
      <c r="G29" s="182" t="s">
        <v>93</v>
      </c>
      <c r="H29" s="183"/>
      <c r="I29" s="184"/>
      <c r="J29" s="173">
        <f t="shared" si="12"/>
        <v>1149.99</v>
      </c>
      <c r="K29" s="173">
        <f t="shared" si="13"/>
        <v>47.916249999999998</v>
      </c>
      <c r="L29" s="173">
        <f t="shared" si="14"/>
        <v>38.332999999999998</v>
      </c>
      <c r="M29" s="173">
        <f t="shared" si="15"/>
        <v>31.944166666666668</v>
      </c>
      <c r="N29" s="185" t="s">
        <v>201</v>
      </c>
      <c r="O29" s="186"/>
      <c r="P29" s="186"/>
      <c r="Q29" s="186"/>
      <c r="R29" s="186"/>
      <c r="S29" s="186"/>
      <c r="T29" s="186"/>
      <c r="U29" s="187"/>
      <c r="V29" s="173"/>
      <c r="W29" s="173"/>
      <c r="X29" s="206"/>
      <c r="Y29" s="208"/>
    </row>
    <row r="30" spans="1:25" s="60" customFormat="1" ht="60" customHeight="1" thickBot="1">
      <c r="A30" s="171" t="s">
        <v>49</v>
      </c>
      <c r="B30" s="171" t="s">
        <v>237</v>
      </c>
      <c r="C30" s="172">
        <v>1899.99</v>
      </c>
      <c r="D30" s="173">
        <f t="shared" si="2"/>
        <v>1769.99</v>
      </c>
      <c r="E30" s="173">
        <f t="shared" si="3"/>
        <v>73.749583333333334</v>
      </c>
      <c r="F30" s="173">
        <f t="shared" si="4"/>
        <v>58.99966666666667</v>
      </c>
      <c r="G30" s="182" t="s">
        <v>93</v>
      </c>
      <c r="H30" s="183"/>
      <c r="I30" s="184"/>
      <c r="J30" s="173">
        <f t="shared" si="12"/>
        <v>1649.99</v>
      </c>
      <c r="K30" s="173">
        <f t="shared" si="13"/>
        <v>68.749583333333334</v>
      </c>
      <c r="L30" s="173">
        <f t="shared" si="14"/>
        <v>54.99966666666667</v>
      </c>
      <c r="M30" s="173">
        <f t="shared" si="15"/>
        <v>45.833055555555553</v>
      </c>
      <c r="N30" s="185" t="s">
        <v>201</v>
      </c>
      <c r="O30" s="186"/>
      <c r="P30" s="186"/>
      <c r="Q30" s="186"/>
      <c r="R30" s="186"/>
      <c r="S30" s="186"/>
      <c r="T30" s="186"/>
      <c r="U30" s="187"/>
      <c r="V30" s="173">
        <f t="shared" ref="V30" si="18">+T30/30</f>
        <v>0</v>
      </c>
      <c r="W30" s="173">
        <f t="shared" ref="W30" si="19">+T30/36</f>
        <v>0</v>
      </c>
      <c r="X30" s="206"/>
      <c r="Y30" s="208"/>
    </row>
    <row r="31" spans="1:25" ht="409.5" customHeight="1" thickBot="1">
      <c r="A31" s="49" t="s">
        <v>31</v>
      </c>
      <c r="B31" s="209"/>
      <c r="C31" s="210"/>
      <c r="D31" s="210"/>
      <c r="E31" s="210"/>
      <c r="F31" s="210"/>
      <c r="G31" s="210"/>
      <c r="H31" s="210"/>
      <c r="I31" s="210"/>
      <c r="J31" s="210"/>
      <c r="K31" s="210"/>
      <c r="L31" s="210"/>
      <c r="M31" s="210"/>
      <c r="N31" s="210"/>
      <c r="O31" s="210"/>
      <c r="P31" s="210"/>
      <c r="Q31" s="210"/>
      <c r="R31" s="210"/>
      <c r="S31" s="210"/>
      <c r="T31" s="210"/>
      <c r="U31" s="210"/>
      <c r="V31" s="210"/>
      <c r="W31" s="210"/>
      <c r="X31" s="210"/>
      <c r="Y31" s="211"/>
    </row>
    <row r="32" spans="1:25" ht="212.85" customHeight="1" thickBot="1">
      <c r="A32" s="50" t="s">
        <v>15</v>
      </c>
      <c r="B32" s="51"/>
      <c r="C32" s="51"/>
      <c r="D32" s="51"/>
      <c r="E32" s="51"/>
      <c r="F32" s="51"/>
      <c r="G32" s="51"/>
      <c r="H32" s="51"/>
      <c r="I32" s="51"/>
      <c r="J32" s="51"/>
      <c r="K32" s="51"/>
      <c r="L32" s="51"/>
      <c r="M32" s="51"/>
      <c r="N32" s="51"/>
      <c r="O32" s="51"/>
      <c r="P32" s="51"/>
      <c r="Q32" s="51"/>
      <c r="R32" s="51"/>
      <c r="S32" s="51"/>
      <c r="T32" s="51"/>
      <c r="U32" s="51"/>
      <c r="V32" s="51"/>
      <c r="W32" s="51"/>
      <c r="X32" s="51"/>
      <c r="Y32" s="52"/>
    </row>
    <row r="33" spans="1:26" ht="212.85" customHeight="1" thickBot="1">
      <c r="A33" s="53" t="s">
        <v>16</v>
      </c>
      <c r="B33" s="54"/>
      <c r="C33" s="54"/>
      <c r="D33" s="54"/>
      <c r="E33" s="54"/>
      <c r="F33" s="54"/>
      <c r="G33" s="54"/>
      <c r="H33" s="54"/>
      <c r="I33" s="54"/>
      <c r="J33" s="54"/>
      <c r="K33" s="54"/>
      <c r="L33" s="54"/>
      <c r="M33" s="54"/>
      <c r="N33" s="54"/>
      <c r="O33" s="54"/>
      <c r="P33" s="54"/>
      <c r="Q33" s="54"/>
      <c r="R33" s="54"/>
      <c r="S33" s="54"/>
      <c r="T33" s="54"/>
      <c r="U33" s="54"/>
      <c r="V33" s="54"/>
      <c r="W33" s="54"/>
      <c r="X33" s="54"/>
      <c r="Y33" s="55"/>
    </row>
    <row r="34" spans="1:26" ht="27.6" customHeight="1">
      <c r="A34" s="14"/>
    </row>
    <row r="35" spans="1:26" ht="27.6" customHeight="1">
      <c r="A35" s="14"/>
    </row>
    <row r="36" spans="1:26" ht="27.6" customHeight="1">
      <c r="A36" s="14"/>
    </row>
    <row r="37" spans="1:26" ht="27.6" customHeight="1">
      <c r="A37" s="14"/>
    </row>
    <row r="38" spans="1:26" ht="27.6" customHeight="1">
      <c r="A38" s="14"/>
    </row>
    <row r="39" spans="1:26" ht="27.6" customHeight="1">
      <c r="A39" s="14"/>
    </row>
    <row r="40" spans="1:26" s="6" customFormat="1" ht="27.6" customHeight="1">
      <c r="A40" s="14"/>
      <c r="Z40" s="3"/>
    </row>
    <row r="41" spans="1:26" s="6" customFormat="1" ht="27.6" customHeight="1">
      <c r="A41" s="14"/>
      <c r="Z41" s="3"/>
    </row>
    <row r="42" spans="1:26" s="6" customFormat="1" ht="27.6" customHeight="1">
      <c r="A42" s="14"/>
      <c r="Z42" s="3"/>
    </row>
    <row r="43" spans="1:26" s="6" customFormat="1" ht="27.6" customHeight="1">
      <c r="A43" s="14"/>
      <c r="Z43" s="3"/>
    </row>
    <row r="44" spans="1:26" s="6" customFormat="1" ht="27.6" customHeight="1">
      <c r="A44" s="14"/>
      <c r="Z44" s="3"/>
    </row>
    <row r="45" spans="1:26" s="6" customFormat="1" ht="27.6" customHeight="1">
      <c r="A45" s="14"/>
      <c r="Z45" s="3"/>
    </row>
    <row r="46" spans="1:26" s="6" customFormat="1" ht="27.6" customHeight="1">
      <c r="A46" s="14"/>
      <c r="Z46" s="3"/>
    </row>
    <row r="47" spans="1:26" s="6" customFormat="1" ht="27.6" customHeight="1">
      <c r="A47" s="14"/>
      <c r="Z47" s="3"/>
    </row>
    <row r="48" spans="1:26" s="6" customFormat="1" ht="27.6" customHeight="1">
      <c r="A48" s="14"/>
      <c r="Z48" s="3"/>
    </row>
    <row r="49" spans="1:26" s="6" customFormat="1" ht="27.6" customHeight="1">
      <c r="A49" s="14"/>
      <c r="Z49" s="3"/>
    </row>
    <row r="50" spans="1:26" s="6" customFormat="1" ht="27.6" customHeight="1">
      <c r="A50" s="14"/>
      <c r="Z50" s="3"/>
    </row>
    <row r="51" spans="1:26" s="6" customFormat="1" ht="27.6" customHeight="1">
      <c r="A51" s="14"/>
      <c r="Z51" s="3"/>
    </row>
    <row r="52" spans="1:26" s="6" customFormat="1" ht="27.6" customHeight="1">
      <c r="A52" s="14"/>
      <c r="Z52" s="3"/>
    </row>
    <row r="53" spans="1:26" s="6" customFormat="1" ht="27.6" customHeight="1">
      <c r="A53" s="14"/>
      <c r="Z53" s="3"/>
    </row>
    <row r="54" spans="1:26" s="6" customFormat="1" ht="27.6" customHeight="1">
      <c r="A54" s="14"/>
      <c r="Z54" s="3"/>
    </row>
    <row r="55" spans="1:26" s="6" customFormat="1" ht="27.6" customHeight="1">
      <c r="A55" s="14"/>
      <c r="Z55" s="3"/>
    </row>
    <row r="56" spans="1:26" s="6" customFormat="1" ht="27.6" customHeight="1">
      <c r="A56" s="14"/>
      <c r="Z56" s="3"/>
    </row>
    <row r="57" spans="1:26" s="6" customFormat="1" ht="27.6" customHeight="1">
      <c r="A57" s="14"/>
      <c r="Z57" s="3"/>
    </row>
    <row r="58" spans="1:26" s="6" customFormat="1" ht="27.6" customHeight="1">
      <c r="A58" s="14"/>
      <c r="Z58" s="3"/>
    </row>
    <row r="59" spans="1:26" s="6" customFormat="1" ht="27.6" customHeight="1">
      <c r="A59" s="14"/>
      <c r="Z59" s="3"/>
    </row>
    <row r="60" spans="1:26" s="6" customFormat="1" ht="27.6" customHeight="1">
      <c r="A60" s="14"/>
      <c r="Z60" s="3"/>
    </row>
    <row r="61" spans="1:26" s="6" customFormat="1" ht="27.6" customHeight="1">
      <c r="A61" s="14"/>
      <c r="Z61" s="3"/>
    </row>
    <row r="62" spans="1:26" s="6" customFormat="1" ht="27.6" customHeight="1">
      <c r="A62" s="14"/>
      <c r="Z62" s="3"/>
    </row>
    <row r="63" spans="1:26" s="6" customFormat="1" ht="27.6" customHeight="1">
      <c r="A63" s="14"/>
      <c r="Z63" s="3"/>
    </row>
    <row r="64" spans="1:26" s="6" customFormat="1" ht="27.6" customHeight="1">
      <c r="A64" s="14"/>
      <c r="Z64" s="3"/>
    </row>
    <row r="65" spans="1:26" s="6" customFormat="1" ht="27.6" customHeight="1">
      <c r="A65" s="14"/>
      <c r="Z65" s="3"/>
    </row>
    <row r="66" spans="1:26" s="6" customFormat="1" ht="27.6" customHeight="1">
      <c r="A66" s="14"/>
      <c r="Z66" s="3"/>
    </row>
    <row r="67" spans="1:26" s="6" customFormat="1" ht="27.6" customHeight="1">
      <c r="A67" s="14"/>
      <c r="Z67" s="3"/>
    </row>
    <row r="68" spans="1:26" s="6" customFormat="1" ht="27.6" customHeight="1">
      <c r="A68" s="14"/>
      <c r="Z68" s="3"/>
    </row>
    <row r="69" spans="1:26" s="6" customFormat="1" ht="27.6" customHeight="1">
      <c r="A69" s="14"/>
      <c r="Z69" s="3"/>
    </row>
    <row r="70" spans="1:26" s="6" customFormat="1" ht="27.6" customHeight="1">
      <c r="A70" s="14"/>
      <c r="Z70" s="3"/>
    </row>
    <row r="71" spans="1:26" s="6" customFormat="1" ht="27.6" customHeight="1">
      <c r="A71" s="14"/>
      <c r="Z71" s="3"/>
    </row>
    <row r="72" spans="1:26" s="6" customFormat="1" ht="27.6" customHeight="1">
      <c r="A72" s="14"/>
      <c r="Z72" s="3"/>
    </row>
    <row r="73" spans="1:26" s="6" customFormat="1" ht="27.6" customHeight="1">
      <c r="A73" s="14"/>
      <c r="Z73" s="3"/>
    </row>
    <row r="74" spans="1:26" s="6" customFormat="1" ht="27.6" customHeight="1">
      <c r="A74" s="14"/>
      <c r="Z74" s="3"/>
    </row>
    <row r="75" spans="1:26" s="6" customFormat="1" ht="27.6" customHeight="1">
      <c r="A75" s="14"/>
      <c r="Z75" s="3"/>
    </row>
    <row r="76" spans="1:26" s="6" customFormat="1" ht="27.6" customHeight="1">
      <c r="A76" s="14"/>
      <c r="Z76" s="3"/>
    </row>
    <row r="77" spans="1:26" s="6" customFormat="1" ht="27.6" customHeight="1">
      <c r="A77" s="14"/>
      <c r="Z77" s="3"/>
    </row>
    <row r="78" spans="1:26" s="6" customFormat="1" ht="27.6" customHeight="1">
      <c r="A78" s="14"/>
      <c r="Z78" s="3"/>
    </row>
    <row r="79" spans="1:26" s="6" customFormat="1" ht="27.6" customHeight="1">
      <c r="A79" s="14"/>
      <c r="Z79" s="3"/>
    </row>
    <row r="80" spans="1:26" s="6" customFormat="1" ht="27.6" customHeight="1">
      <c r="A80" s="14"/>
      <c r="Z80" s="3"/>
    </row>
    <row r="81" spans="1:26" s="6" customFormat="1" ht="27.6" customHeight="1">
      <c r="A81" s="14"/>
      <c r="Z81" s="3"/>
    </row>
    <row r="82" spans="1:26" s="6" customFormat="1" ht="27.6" customHeight="1">
      <c r="A82" s="14"/>
      <c r="Z82" s="3"/>
    </row>
    <row r="83" spans="1:26" s="6" customFormat="1" ht="27.6" customHeight="1">
      <c r="A83" s="14"/>
      <c r="Z83" s="3"/>
    </row>
    <row r="84" spans="1:26" s="6" customFormat="1" ht="27.6" customHeight="1">
      <c r="A84" s="14"/>
      <c r="Z84" s="3"/>
    </row>
    <row r="85" spans="1:26" s="6" customFormat="1" ht="27.6" customHeight="1">
      <c r="A85" s="14"/>
      <c r="Z85" s="3"/>
    </row>
    <row r="86" spans="1:26" s="6" customFormat="1" ht="27.6" customHeight="1">
      <c r="A86" s="14"/>
      <c r="Z86" s="3"/>
    </row>
  </sheetData>
  <sheetProtection algorithmName="SHA-512" hashValue="oIISjDJxTT7c0bsJmG1zLT248luHYWqdInsT18R3oSvtm2i1ZjR3vqHCgYkiWL8owAA3Ukbo2QsBoyvEydMQeQ==" saltValue="MBvjIGvb6LDMpe/s+VTeEg==" spinCount="100000" sheet="1" selectLockedCells="1" selectUnlockedCells="1"/>
  <mergeCells count="96">
    <mergeCell ref="D21:F21"/>
    <mergeCell ref="J21:M21"/>
    <mergeCell ref="D16:F16"/>
    <mergeCell ref="J16:M16"/>
    <mergeCell ref="N16:Q16"/>
    <mergeCell ref="N20:U20"/>
    <mergeCell ref="G20:I20"/>
    <mergeCell ref="J10:M10"/>
    <mergeCell ref="N10:Q10"/>
    <mergeCell ref="R10:S10"/>
    <mergeCell ref="J9:M9"/>
    <mergeCell ref="G9:I9"/>
    <mergeCell ref="B31:Y31"/>
    <mergeCell ref="G13:I13"/>
    <mergeCell ref="G14:I14"/>
    <mergeCell ref="G15:I15"/>
    <mergeCell ref="G16:I16"/>
    <mergeCell ref="G17:I17"/>
    <mergeCell ref="G18:I18"/>
    <mergeCell ref="G19:I19"/>
    <mergeCell ref="T13:W13"/>
    <mergeCell ref="N13:Q13"/>
    <mergeCell ref="R13:S13"/>
    <mergeCell ref="G27:I27"/>
    <mergeCell ref="N28:U28"/>
    <mergeCell ref="N27:U27"/>
    <mergeCell ref="N23:U23"/>
    <mergeCell ref="N15:W15"/>
    <mergeCell ref="A2:Y2"/>
    <mergeCell ref="A3:Y3"/>
    <mergeCell ref="D4:I4"/>
    <mergeCell ref="X4:X30"/>
    <mergeCell ref="Y4:Y30"/>
    <mergeCell ref="R6:S6"/>
    <mergeCell ref="T6:W6"/>
    <mergeCell ref="R9:S9"/>
    <mergeCell ref="T9:W9"/>
    <mergeCell ref="N14:Q14"/>
    <mergeCell ref="J7:M7"/>
    <mergeCell ref="J4:M4"/>
    <mergeCell ref="T7:W7"/>
    <mergeCell ref="N9:Q9"/>
    <mergeCell ref="G7:I7"/>
    <mergeCell ref="J8:M8"/>
    <mergeCell ref="T11:W11"/>
    <mergeCell ref="T10:W10"/>
    <mergeCell ref="D7:F7"/>
    <mergeCell ref="N4:S4"/>
    <mergeCell ref="T4:W4"/>
    <mergeCell ref="J6:M6"/>
    <mergeCell ref="N6:Q6"/>
    <mergeCell ref="D6:F6"/>
    <mergeCell ref="G6:I6"/>
    <mergeCell ref="N7:Q7"/>
    <mergeCell ref="R7:S7"/>
    <mergeCell ref="D9:F9"/>
    <mergeCell ref="G11:I11"/>
    <mergeCell ref="J11:M11"/>
    <mergeCell ref="N11:Q11"/>
    <mergeCell ref="R11:S11"/>
    <mergeCell ref="G12:I12"/>
    <mergeCell ref="T18:W18"/>
    <mergeCell ref="G8:I8"/>
    <mergeCell ref="G30:I30"/>
    <mergeCell ref="G26:I26"/>
    <mergeCell ref="N26:U26"/>
    <mergeCell ref="G29:I29"/>
    <mergeCell ref="N29:U29"/>
    <mergeCell ref="G22:I22"/>
    <mergeCell ref="G21:I21"/>
    <mergeCell ref="G23:I23"/>
    <mergeCell ref="N30:U30"/>
    <mergeCell ref="G28:I28"/>
    <mergeCell ref="N8:Q8"/>
    <mergeCell ref="R8:S8"/>
    <mergeCell ref="T8:W8"/>
    <mergeCell ref="R12:S12"/>
    <mergeCell ref="N19:U19"/>
    <mergeCell ref="N22:W22"/>
    <mergeCell ref="N24:U24"/>
    <mergeCell ref="T12:W12"/>
    <mergeCell ref="N17:U17"/>
    <mergeCell ref="N21:Q21"/>
    <mergeCell ref="R21:S21"/>
    <mergeCell ref="T21:W21"/>
    <mergeCell ref="R16:S16"/>
    <mergeCell ref="T16:W16"/>
    <mergeCell ref="N12:Q12"/>
    <mergeCell ref="G25:I25"/>
    <mergeCell ref="N25:U25"/>
    <mergeCell ref="R14:S14"/>
    <mergeCell ref="T14:W14"/>
    <mergeCell ref="N18:Q18"/>
    <mergeCell ref="R18:S18"/>
    <mergeCell ref="G24:I24"/>
    <mergeCell ref="J18:M18"/>
  </mergeCells>
  <phoneticPr fontId="78" type="noConversion"/>
  <printOptions horizontalCentered="1"/>
  <pageMargins left="0.25" right="0.25" top="0" bottom="0" header="0.3" footer="0.3"/>
  <pageSetup paperSize="5" scale="2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249977111117893"/>
    <pageSetUpPr fitToPage="1"/>
  </sheetPr>
  <dimension ref="A1:G30"/>
  <sheetViews>
    <sheetView showGridLines="0" zoomScale="30" zoomScaleNormal="30" zoomScaleSheetLayoutView="30" workbookViewId="0">
      <selection activeCell="D12" sqref="D12:D13"/>
    </sheetView>
  </sheetViews>
  <sheetFormatPr defaultColWidth="9.28515625" defaultRowHeight="27.6" customHeight="1"/>
  <cols>
    <col min="1" max="1" width="2.28515625" style="3" customWidth="1"/>
    <col min="2" max="2" width="75" style="2" customWidth="1"/>
    <col min="3" max="3" width="86.7109375" style="6" customWidth="1"/>
    <col min="4" max="4" width="181.5703125" style="6" customWidth="1"/>
    <col min="5" max="6" width="62.28515625" style="6" customWidth="1"/>
    <col min="7" max="7" width="255.7109375" style="6" customWidth="1"/>
    <col min="8" max="16384" width="9.28515625" style="3"/>
  </cols>
  <sheetData>
    <row r="1" spans="1:7" ht="126" customHeight="1" thickBot="1">
      <c r="A1" s="3" t="s">
        <v>12</v>
      </c>
      <c r="B1" s="237" t="s">
        <v>282</v>
      </c>
      <c r="C1" s="238"/>
      <c r="D1" s="238"/>
      <c r="E1" s="238"/>
      <c r="F1" s="238"/>
      <c r="G1" s="239"/>
    </row>
    <row r="2" spans="1:7" s="1" customFormat="1" ht="59.25" customHeight="1" thickBot="1">
      <c r="B2" s="240" t="s">
        <v>0</v>
      </c>
      <c r="C2" s="241"/>
      <c r="D2" s="241"/>
      <c r="E2" s="241"/>
      <c r="F2" s="241"/>
      <c r="G2" s="242"/>
    </row>
    <row r="3" spans="1:7" s="1" customFormat="1" ht="172.15" customHeight="1" thickBot="1">
      <c r="B3" s="73" t="s">
        <v>1</v>
      </c>
      <c r="C3" s="73" t="s">
        <v>2</v>
      </c>
      <c r="D3" s="73" t="s">
        <v>3</v>
      </c>
      <c r="E3" s="72" t="s">
        <v>4</v>
      </c>
      <c r="F3" s="9" t="s">
        <v>13</v>
      </c>
      <c r="G3" s="10" t="s">
        <v>14</v>
      </c>
    </row>
    <row r="4" spans="1:7" s="1" customFormat="1" ht="409.5" customHeight="1" thickBot="1">
      <c r="B4" s="143" t="s">
        <v>122</v>
      </c>
      <c r="C4" s="142" t="s">
        <v>123</v>
      </c>
      <c r="D4" s="145" t="s">
        <v>199</v>
      </c>
      <c r="E4" s="74" t="s">
        <v>20</v>
      </c>
      <c r="F4" s="76" t="s">
        <v>198</v>
      </c>
      <c r="G4" s="144" t="s">
        <v>197</v>
      </c>
    </row>
    <row r="5" spans="1:7" s="1" customFormat="1" ht="226.5" customHeight="1" thickBot="1">
      <c r="B5" s="247" t="s">
        <v>40</v>
      </c>
      <c r="C5" s="222" t="s">
        <v>77</v>
      </c>
      <c r="D5" s="243" t="s">
        <v>276</v>
      </c>
      <c r="E5" s="246" t="s">
        <v>19</v>
      </c>
      <c r="F5" s="220" t="s">
        <v>96</v>
      </c>
      <c r="G5" s="245" t="s">
        <v>261</v>
      </c>
    </row>
    <row r="6" spans="1:7" s="1" customFormat="1" ht="408.75" customHeight="1" thickBot="1">
      <c r="B6" s="247"/>
      <c r="C6" s="215"/>
      <c r="D6" s="244"/>
      <c r="E6" s="246"/>
      <c r="F6" s="221"/>
      <c r="G6" s="245"/>
    </row>
    <row r="7" spans="1:7" s="1" customFormat="1" ht="408.75" customHeight="1" thickBot="1">
      <c r="B7" s="156" t="s">
        <v>33</v>
      </c>
      <c r="C7" s="94" t="s">
        <v>223</v>
      </c>
      <c r="D7" s="165" t="s">
        <v>252</v>
      </c>
      <c r="E7" s="74" t="s">
        <v>20</v>
      </c>
      <c r="F7" s="76" t="s">
        <v>54</v>
      </c>
      <c r="G7" s="75" t="s">
        <v>87</v>
      </c>
    </row>
    <row r="8" spans="1:7" s="1" customFormat="1" ht="408.75" customHeight="1" thickBot="1">
      <c r="B8" s="56" t="s">
        <v>42</v>
      </c>
      <c r="C8" s="94" t="s">
        <v>227</v>
      </c>
      <c r="D8" s="164" t="s">
        <v>253</v>
      </c>
      <c r="E8" s="74" t="s">
        <v>20</v>
      </c>
      <c r="F8" s="58" t="s">
        <v>55</v>
      </c>
      <c r="G8" s="59" t="s">
        <v>228</v>
      </c>
    </row>
    <row r="9" spans="1:7" s="1" customFormat="1" ht="408.75" customHeight="1" thickBot="1">
      <c r="B9" s="56" t="s">
        <v>42</v>
      </c>
      <c r="C9" s="57" t="s">
        <v>238</v>
      </c>
      <c r="D9" s="166" t="s">
        <v>254</v>
      </c>
      <c r="E9" s="74" t="s">
        <v>20</v>
      </c>
      <c r="F9" s="58" t="s">
        <v>55</v>
      </c>
      <c r="G9" s="167" t="s">
        <v>255</v>
      </c>
    </row>
    <row r="10" spans="1:7" s="1" customFormat="1" ht="408.75" customHeight="1" thickBot="1">
      <c r="B10" s="56" t="s">
        <v>42</v>
      </c>
      <c r="C10" s="57" t="s">
        <v>238</v>
      </c>
      <c r="D10" s="168" t="s">
        <v>277</v>
      </c>
      <c r="E10" s="74" t="s">
        <v>20</v>
      </c>
      <c r="F10" s="58" t="s">
        <v>55</v>
      </c>
      <c r="G10" s="163" t="s">
        <v>278</v>
      </c>
    </row>
    <row r="11" spans="1:7" s="1" customFormat="1" ht="408.75" customHeight="1" thickBot="1">
      <c r="B11" s="56" t="s">
        <v>42</v>
      </c>
      <c r="C11" s="57" t="s">
        <v>239</v>
      </c>
      <c r="D11" s="166" t="s">
        <v>283</v>
      </c>
      <c r="E11" s="74" t="s">
        <v>20</v>
      </c>
      <c r="F11" s="58" t="s">
        <v>55</v>
      </c>
      <c r="G11" s="163" t="s">
        <v>284</v>
      </c>
    </row>
    <row r="12" spans="1:7" s="1" customFormat="1" ht="267.75" customHeight="1">
      <c r="B12" s="212" t="s">
        <v>226</v>
      </c>
      <c r="C12" s="222" t="s">
        <v>239</v>
      </c>
      <c r="D12" s="223" t="s">
        <v>262</v>
      </c>
      <c r="E12" s="218" t="s">
        <v>20</v>
      </c>
      <c r="F12" s="220" t="s">
        <v>55</v>
      </c>
      <c r="G12" s="235" t="s">
        <v>256</v>
      </c>
    </row>
    <row r="13" spans="1:7" s="1" customFormat="1" ht="153.75" customHeight="1" thickBot="1">
      <c r="B13" s="213"/>
      <c r="C13" s="215"/>
      <c r="D13" s="224"/>
      <c r="E13" s="219"/>
      <c r="F13" s="221"/>
      <c r="G13" s="236"/>
    </row>
    <row r="14" spans="1:7" s="1" customFormat="1" ht="303.75" customHeight="1">
      <c r="B14" s="212" t="s">
        <v>279</v>
      </c>
      <c r="C14" s="214" t="s">
        <v>257</v>
      </c>
      <c r="D14" s="216" t="s">
        <v>280</v>
      </c>
      <c r="E14" s="218" t="s">
        <v>20</v>
      </c>
      <c r="F14" s="220" t="s">
        <v>55</v>
      </c>
      <c r="G14" s="235" t="s">
        <v>258</v>
      </c>
    </row>
    <row r="15" spans="1:7" s="1" customFormat="1" ht="219" customHeight="1" thickBot="1">
      <c r="B15" s="213"/>
      <c r="C15" s="215"/>
      <c r="D15" s="217"/>
      <c r="E15" s="219"/>
      <c r="F15" s="221"/>
      <c r="G15" s="236"/>
    </row>
    <row r="16" spans="1:7" s="1" customFormat="1" ht="409.6" customHeight="1">
      <c r="B16" s="225" t="s">
        <v>273</v>
      </c>
      <c r="C16" s="227" t="s">
        <v>259</v>
      </c>
      <c r="D16" s="229" t="s">
        <v>272</v>
      </c>
      <c r="E16" s="218" t="s">
        <v>20</v>
      </c>
      <c r="F16" s="220" t="s">
        <v>55</v>
      </c>
      <c r="G16" s="235" t="s">
        <v>274</v>
      </c>
    </row>
    <row r="17" spans="2:7" s="1" customFormat="1" ht="316.5" customHeight="1" thickBot="1">
      <c r="B17" s="226"/>
      <c r="C17" s="228"/>
      <c r="D17" s="230"/>
      <c r="E17" s="219"/>
      <c r="F17" s="221"/>
      <c r="G17" s="236"/>
    </row>
    <row r="18" spans="2:7" s="1" customFormat="1" ht="409.6" customHeight="1">
      <c r="B18" s="249" t="s">
        <v>118</v>
      </c>
      <c r="C18" s="267" t="s">
        <v>120</v>
      </c>
      <c r="D18" s="243" t="s">
        <v>250</v>
      </c>
      <c r="E18" s="231" t="s">
        <v>20</v>
      </c>
      <c r="F18" s="220" t="s">
        <v>58</v>
      </c>
      <c r="G18" s="273" t="s">
        <v>119</v>
      </c>
    </row>
    <row r="19" spans="2:7" s="1" customFormat="1" ht="409.6" customHeight="1">
      <c r="B19" s="250"/>
      <c r="C19" s="268"/>
      <c r="D19" s="248"/>
      <c r="E19" s="232"/>
      <c r="F19" s="234"/>
      <c r="G19" s="274"/>
    </row>
    <row r="20" spans="2:7" s="1" customFormat="1" ht="251.25" customHeight="1" thickBot="1">
      <c r="B20" s="251"/>
      <c r="C20" s="269"/>
      <c r="D20" s="244"/>
      <c r="E20" s="233"/>
      <c r="F20" s="221"/>
      <c r="G20" s="275"/>
    </row>
    <row r="21" spans="2:7" s="1" customFormat="1" ht="318.75" customHeight="1">
      <c r="B21" s="212" t="s">
        <v>233</v>
      </c>
      <c r="C21" s="281" t="s">
        <v>78</v>
      </c>
      <c r="D21" s="283" t="s">
        <v>235</v>
      </c>
      <c r="E21" s="218" t="s">
        <v>20</v>
      </c>
      <c r="F21" s="220" t="s">
        <v>55</v>
      </c>
      <c r="G21" s="284" t="s">
        <v>234</v>
      </c>
    </row>
    <row r="22" spans="2:7" s="1" customFormat="1" ht="358.5" customHeight="1" thickBot="1">
      <c r="B22" s="213"/>
      <c r="C22" s="282"/>
      <c r="D22" s="283"/>
      <c r="E22" s="219"/>
      <c r="F22" s="221"/>
      <c r="G22" s="284"/>
    </row>
    <row r="23" spans="2:7" s="1" customFormat="1" ht="409.6" customHeight="1" thickBot="1">
      <c r="B23" s="257" t="s">
        <v>244</v>
      </c>
      <c r="C23" s="260" t="s">
        <v>260</v>
      </c>
      <c r="D23" s="263" t="s">
        <v>251</v>
      </c>
      <c r="E23" s="214" t="s">
        <v>20</v>
      </c>
      <c r="F23" s="266" t="s">
        <v>56</v>
      </c>
      <c r="G23" s="270" t="s">
        <v>275</v>
      </c>
    </row>
    <row r="24" spans="2:7" s="1" customFormat="1" ht="409.6" customHeight="1" thickBot="1">
      <c r="B24" s="258"/>
      <c r="C24" s="261"/>
      <c r="D24" s="264"/>
      <c r="E24" s="276"/>
      <c r="F24" s="266"/>
      <c r="G24" s="271"/>
    </row>
    <row r="25" spans="2:7" s="1" customFormat="1" ht="409.6" customHeight="1" thickBot="1">
      <c r="B25" s="259"/>
      <c r="C25" s="262"/>
      <c r="D25" s="265"/>
      <c r="E25" s="277"/>
      <c r="F25" s="266"/>
      <c r="G25" s="272"/>
    </row>
    <row r="26" spans="2:7" ht="408.75" customHeight="1" thickBot="1">
      <c r="B26" s="256" t="s">
        <v>31</v>
      </c>
      <c r="C26" s="256"/>
      <c r="D26" s="278"/>
      <c r="E26" s="279"/>
      <c r="F26" s="279"/>
      <c r="G26" s="280"/>
    </row>
    <row r="27" spans="2:7" ht="151.9" customHeight="1" thickBot="1">
      <c r="B27" s="255" t="s">
        <v>17</v>
      </c>
      <c r="C27" s="255"/>
      <c r="D27" s="255"/>
      <c r="E27" s="255"/>
      <c r="F27" s="255"/>
      <c r="G27" s="255"/>
    </row>
    <row r="28" spans="2:7" ht="212.65" customHeight="1" thickBot="1">
      <c r="B28" s="255"/>
      <c r="C28" s="255"/>
      <c r="D28" s="255"/>
      <c r="E28" s="255"/>
      <c r="F28" s="255"/>
      <c r="G28" s="255"/>
    </row>
    <row r="29" spans="2:7" ht="212.65" customHeight="1" thickBot="1">
      <c r="B29" s="252" t="s">
        <v>15</v>
      </c>
      <c r="C29" s="253"/>
      <c r="D29" s="253"/>
      <c r="E29" s="253"/>
      <c r="F29" s="253"/>
      <c r="G29" s="254"/>
    </row>
    <row r="30" spans="2:7" ht="186.75" customHeight="1" thickBot="1">
      <c r="B30" s="252" t="s">
        <v>16</v>
      </c>
      <c r="C30" s="253"/>
      <c r="D30" s="253"/>
      <c r="E30" s="253"/>
      <c r="F30" s="253"/>
      <c r="G30" s="254"/>
    </row>
  </sheetData>
  <sheetProtection algorithmName="SHA-512" hashValue="i78sJnxLYsVrjcHT8uBNiCYDV0TwLB7p8SThLfBkducETUWkWkDnaXmve+LNTuY4TeBjrfrDxU42EVHzrL3T8Q==" saltValue="5argknfDQa2HrtwZX/yRDw==" spinCount="100000" sheet="1" objects="1" scenarios="1"/>
  <mergeCells count="49">
    <mergeCell ref="C21:C22"/>
    <mergeCell ref="D21:D22"/>
    <mergeCell ref="E21:E22"/>
    <mergeCell ref="F21:F22"/>
    <mergeCell ref="G21:G22"/>
    <mergeCell ref="D18:D20"/>
    <mergeCell ref="B18:B20"/>
    <mergeCell ref="B30:G30"/>
    <mergeCell ref="B29:G29"/>
    <mergeCell ref="B27:G28"/>
    <mergeCell ref="B26:C26"/>
    <mergeCell ref="B23:B25"/>
    <mergeCell ref="C23:C25"/>
    <mergeCell ref="D23:D25"/>
    <mergeCell ref="F23:F25"/>
    <mergeCell ref="C18:C20"/>
    <mergeCell ref="G23:G25"/>
    <mergeCell ref="G18:G20"/>
    <mergeCell ref="E23:E25"/>
    <mergeCell ref="D26:G26"/>
    <mergeCell ref="B21:B22"/>
    <mergeCell ref="B1:G1"/>
    <mergeCell ref="B2:G2"/>
    <mergeCell ref="D5:D6"/>
    <mergeCell ref="C5:C6"/>
    <mergeCell ref="G5:G6"/>
    <mergeCell ref="E5:E6"/>
    <mergeCell ref="B5:B6"/>
    <mergeCell ref="E18:E20"/>
    <mergeCell ref="F18:F20"/>
    <mergeCell ref="F5:F6"/>
    <mergeCell ref="G16:G17"/>
    <mergeCell ref="G12:G13"/>
    <mergeCell ref="G14:G15"/>
    <mergeCell ref="B16:B17"/>
    <mergeCell ref="C16:C17"/>
    <mergeCell ref="D16:D17"/>
    <mergeCell ref="E16:E17"/>
    <mergeCell ref="F16:F17"/>
    <mergeCell ref="B12:B13"/>
    <mergeCell ref="C12:C13"/>
    <mergeCell ref="D12:D13"/>
    <mergeCell ref="E12:E13"/>
    <mergeCell ref="F12:F13"/>
    <mergeCell ref="B14:B15"/>
    <mergeCell ref="C14:C15"/>
    <mergeCell ref="D14:D15"/>
    <mergeCell ref="E14:E15"/>
    <mergeCell ref="F14:F15"/>
  </mergeCells>
  <phoneticPr fontId="78" type="noConversion"/>
  <conditionalFormatting sqref="D18:D19">
    <cfRule type="duplicateValues" dxfId="12" priority="3"/>
  </conditionalFormatting>
  <conditionalFormatting sqref="D21:D22">
    <cfRule type="duplicateValues" dxfId="11" priority="1"/>
  </conditionalFormatting>
  <conditionalFormatting sqref="D23:D24">
    <cfRule type="duplicateValues" dxfId="10" priority="5"/>
  </conditionalFormatting>
  <pageMargins left="0.25" right="0.25" top="0" bottom="0" header="0.3" footer="0.3"/>
  <pageSetup scale="1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40E50-FCDB-4F86-BA87-34B1D6AF2EEC}">
  <sheetPr codeName="Sheet3">
    <tabColor theme="2" tint="-0.499984740745262"/>
    <pageSetUpPr fitToPage="1"/>
  </sheetPr>
  <dimension ref="A1:E56"/>
  <sheetViews>
    <sheetView showGridLines="0" topLeftCell="A25" zoomScale="36" zoomScaleNormal="36" zoomScaleSheetLayoutView="85" workbookViewId="0">
      <selection sqref="A1:E1"/>
    </sheetView>
  </sheetViews>
  <sheetFormatPr defaultColWidth="9.42578125" defaultRowHeight="27.6" customHeight="1"/>
  <cols>
    <col min="1" max="1" width="109" style="2" customWidth="1"/>
    <col min="2" max="2" width="71.5703125" style="6" customWidth="1"/>
    <col min="3" max="3" width="190" style="6" customWidth="1"/>
    <col min="4" max="4" width="59.42578125" style="6" customWidth="1"/>
    <col min="5" max="5" width="255.42578125" style="6" customWidth="1"/>
    <col min="6" max="16384" width="9.42578125" style="3"/>
  </cols>
  <sheetData>
    <row r="1" spans="1:5" ht="126" customHeight="1">
      <c r="A1" s="285" t="s">
        <v>196</v>
      </c>
      <c r="B1" s="285"/>
      <c r="C1" s="285"/>
      <c r="D1" s="285"/>
      <c r="E1" s="285"/>
    </row>
    <row r="2" spans="1:5" s="1" customFormat="1" ht="59.25" customHeight="1">
      <c r="A2" s="286" t="s">
        <v>0</v>
      </c>
      <c r="B2" s="286"/>
      <c r="C2" s="286"/>
      <c r="D2" s="286"/>
      <c r="E2" s="286"/>
    </row>
    <row r="3" spans="1:5" s="1" customFormat="1" ht="88.5" customHeight="1">
      <c r="A3" s="105" t="s">
        <v>1</v>
      </c>
      <c r="B3" s="105" t="s">
        <v>2</v>
      </c>
      <c r="C3" s="105" t="s">
        <v>121</v>
      </c>
      <c r="D3" s="105" t="s">
        <v>4</v>
      </c>
      <c r="E3" s="105" t="s">
        <v>5</v>
      </c>
    </row>
    <row r="4" spans="1:5" s="1" customFormat="1" ht="409.35" customHeight="1">
      <c r="A4" s="106" t="s">
        <v>122</v>
      </c>
      <c r="B4" s="107" t="s">
        <v>123</v>
      </c>
      <c r="C4" s="108" t="s">
        <v>124</v>
      </c>
      <c r="D4" s="134" t="s">
        <v>20</v>
      </c>
      <c r="E4" s="109" t="s">
        <v>171</v>
      </c>
    </row>
    <row r="5" spans="1:5" s="1" customFormat="1" ht="408.6" customHeight="1">
      <c r="A5" s="106" t="s">
        <v>125</v>
      </c>
      <c r="B5" s="107" t="s">
        <v>123</v>
      </c>
      <c r="C5" s="110" t="s">
        <v>126</v>
      </c>
      <c r="D5" s="134" t="s">
        <v>20</v>
      </c>
      <c r="E5" s="111" t="s">
        <v>172</v>
      </c>
    </row>
    <row r="6" spans="1:5" s="1" customFormat="1" ht="409.35" customHeight="1">
      <c r="A6" s="287" t="s">
        <v>128</v>
      </c>
      <c r="B6" s="288" t="s">
        <v>129</v>
      </c>
      <c r="C6" s="289" t="s">
        <v>130</v>
      </c>
      <c r="D6" s="290" t="s">
        <v>20</v>
      </c>
      <c r="E6" s="291" t="s">
        <v>175</v>
      </c>
    </row>
    <row r="7" spans="1:5" s="1" customFormat="1" ht="409.6" customHeight="1">
      <c r="A7" s="287"/>
      <c r="B7" s="288"/>
      <c r="C7" s="289"/>
      <c r="D7" s="290"/>
      <c r="E7" s="291"/>
    </row>
    <row r="8" spans="1:5" s="1" customFormat="1" ht="409.6" customHeight="1">
      <c r="A8" s="287"/>
      <c r="B8" s="288"/>
      <c r="C8" s="289"/>
      <c r="D8" s="290"/>
      <c r="E8" s="291"/>
    </row>
    <row r="9" spans="1:5" s="1" customFormat="1" ht="407.85" customHeight="1">
      <c r="A9" s="287"/>
      <c r="B9" s="288" t="s">
        <v>127</v>
      </c>
      <c r="C9" s="292" t="s">
        <v>131</v>
      </c>
      <c r="D9" s="290"/>
      <c r="E9" s="291"/>
    </row>
    <row r="10" spans="1:5" s="1" customFormat="1" ht="381" customHeight="1">
      <c r="A10" s="287"/>
      <c r="B10" s="288"/>
      <c r="C10" s="292"/>
      <c r="D10" s="290"/>
      <c r="E10" s="291"/>
    </row>
    <row r="11" spans="1:5" s="1" customFormat="1" ht="281.85000000000002" customHeight="1">
      <c r="A11" s="287"/>
      <c r="B11" s="113" t="s">
        <v>86</v>
      </c>
      <c r="C11" s="114" t="s">
        <v>132</v>
      </c>
      <c r="D11" s="136" t="s">
        <v>20</v>
      </c>
      <c r="E11" s="112"/>
    </row>
    <row r="12" spans="1:5" s="1" customFormat="1" ht="315.60000000000002" customHeight="1">
      <c r="A12" s="293" t="s">
        <v>133</v>
      </c>
      <c r="B12" s="294" t="s">
        <v>129</v>
      </c>
      <c r="C12" s="295" t="s">
        <v>134</v>
      </c>
      <c r="D12" s="296" t="s">
        <v>20</v>
      </c>
      <c r="E12" s="297" t="s">
        <v>174</v>
      </c>
    </row>
    <row r="13" spans="1:5" s="1" customFormat="1" ht="350.25" customHeight="1">
      <c r="A13" s="293"/>
      <c r="B13" s="294"/>
      <c r="C13" s="295"/>
      <c r="D13" s="296"/>
      <c r="E13" s="297"/>
    </row>
    <row r="14" spans="1:5" s="1" customFormat="1" ht="322.35000000000002" customHeight="1">
      <c r="A14" s="293" t="s">
        <v>135</v>
      </c>
      <c r="B14" s="294" t="s">
        <v>127</v>
      </c>
      <c r="C14" s="295" t="s">
        <v>136</v>
      </c>
      <c r="D14" s="296" t="s">
        <v>20</v>
      </c>
      <c r="E14" s="297" t="s">
        <v>173</v>
      </c>
    </row>
    <row r="15" spans="1:5" s="1" customFormat="1" ht="322.35000000000002" customHeight="1">
      <c r="A15" s="293"/>
      <c r="B15" s="294"/>
      <c r="C15" s="295"/>
      <c r="D15" s="296"/>
      <c r="E15" s="297"/>
    </row>
    <row r="16" spans="1:5" s="1" customFormat="1" ht="409.5" customHeight="1">
      <c r="A16" s="302" t="s">
        <v>137</v>
      </c>
      <c r="B16" s="303" t="s">
        <v>86</v>
      </c>
      <c r="C16" s="304" t="s">
        <v>138</v>
      </c>
      <c r="D16" s="305" t="s">
        <v>20</v>
      </c>
      <c r="E16" s="306" t="s">
        <v>176</v>
      </c>
    </row>
    <row r="17" spans="1:5" s="1" customFormat="1" ht="409.6" customHeight="1">
      <c r="A17" s="302"/>
      <c r="B17" s="303"/>
      <c r="C17" s="304"/>
      <c r="D17" s="305"/>
      <c r="E17" s="306"/>
    </row>
    <row r="18" spans="1:5" s="1" customFormat="1" ht="409.6" customHeight="1">
      <c r="A18" s="115" t="s">
        <v>42</v>
      </c>
      <c r="B18" s="116" t="s">
        <v>21</v>
      </c>
      <c r="C18" s="117" t="s">
        <v>139</v>
      </c>
      <c r="D18" s="137" t="s">
        <v>20</v>
      </c>
      <c r="E18" s="118" t="s">
        <v>177</v>
      </c>
    </row>
    <row r="19" spans="1:5" ht="409.6" customHeight="1">
      <c r="A19" s="298" t="s">
        <v>140</v>
      </c>
      <c r="B19" s="299" t="s">
        <v>141</v>
      </c>
      <c r="C19" s="300" t="s">
        <v>142</v>
      </c>
      <c r="D19" s="296" t="s">
        <v>20</v>
      </c>
      <c r="E19" s="301" t="s">
        <v>178</v>
      </c>
    </row>
    <row r="20" spans="1:5" ht="300" customHeight="1">
      <c r="A20" s="298"/>
      <c r="B20" s="299"/>
      <c r="C20" s="300"/>
      <c r="D20" s="296"/>
      <c r="E20" s="301"/>
    </row>
    <row r="21" spans="1:5" ht="409.6" customHeight="1">
      <c r="A21" s="298"/>
      <c r="B21" s="299"/>
      <c r="C21" s="300"/>
      <c r="D21" s="296"/>
      <c r="E21" s="301"/>
    </row>
    <row r="22" spans="1:5" s="1" customFormat="1" ht="409.6" customHeight="1">
      <c r="A22" s="298" t="s">
        <v>143</v>
      </c>
      <c r="B22" s="311" t="s">
        <v>86</v>
      </c>
      <c r="C22" s="313" t="s">
        <v>144</v>
      </c>
      <c r="D22" s="296" t="s">
        <v>20</v>
      </c>
      <c r="E22" s="301" t="s">
        <v>179</v>
      </c>
    </row>
    <row r="23" spans="1:5" s="1" customFormat="1" ht="409.5" customHeight="1">
      <c r="A23" s="310"/>
      <c r="B23" s="312"/>
      <c r="C23" s="314"/>
      <c r="D23" s="315"/>
      <c r="E23" s="316"/>
    </row>
    <row r="24" spans="1:5" s="1" customFormat="1" ht="409.6" customHeight="1">
      <c r="A24" s="307" t="s">
        <v>145</v>
      </c>
      <c r="B24" s="298" t="s">
        <v>21</v>
      </c>
      <c r="C24" s="308" t="s">
        <v>146</v>
      </c>
      <c r="D24" s="296" t="s">
        <v>20</v>
      </c>
      <c r="E24" s="309" t="s">
        <v>180</v>
      </c>
    </row>
    <row r="25" spans="1:5" s="1" customFormat="1" ht="408.75" customHeight="1">
      <c r="A25" s="307"/>
      <c r="B25" s="298"/>
      <c r="C25" s="308"/>
      <c r="D25" s="296"/>
      <c r="E25" s="309"/>
    </row>
    <row r="26" spans="1:5" s="1" customFormat="1" ht="408.75" customHeight="1">
      <c r="A26" s="307"/>
      <c r="B26" s="298"/>
      <c r="C26" s="308"/>
      <c r="D26" s="296"/>
      <c r="E26" s="309"/>
    </row>
    <row r="27" spans="1:5" ht="409.6" customHeight="1">
      <c r="A27" s="307" t="s">
        <v>147</v>
      </c>
      <c r="B27" s="298" t="s">
        <v>78</v>
      </c>
      <c r="C27" s="295" t="s">
        <v>148</v>
      </c>
      <c r="D27" s="296" t="s">
        <v>20</v>
      </c>
      <c r="E27" s="319" t="s">
        <v>181</v>
      </c>
    </row>
    <row r="28" spans="1:5" ht="408.75" customHeight="1">
      <c r="A28" s="307"/>
      <c r="B28" s="298"/>
      <c r="C28" s="318"/>
      <c r="D28" s="296"/>
      <c r="E28" s="309"/>
    </row>
    <row r="29" spans="1:5" ht="409.6" customHeight="1">
      <c r="A29" s="298" t="s">
        <v>149</v>
      </c>
      <c r="B29" s="298" t="s">
        <v>150</v>
      </c>
      <c r="C29" s="317" t="s">
        <v>151</v>
      </c>
      <c r="D29" s="296" t="s">
        <v>20</v>
      </c>
      <c r="E29" s="301" t="s">
        <v>182</v>
      </c>
    </row>
    <row r="30" spans="1:5" ht="300" customHeight="1">
      <c r="A30" s="298"/>
      <c r="B30" s="298"/>
      <c r="C30" s="300"/>
      <c r="D30" s="296"/>
      <c r="E30" s="301"/>
    </row>
    <row r="31" spans="1:5" ht="409.6" customHeight="1">
      <c r="A31" s="298"/>
      <c r="B31" s="298"/>
      <c r="C31" s="300"/>
      <c r="D31" s="296"/>
      <c r="E31" s="301"/>
    </row>
    <row r="32" spans="1:5" s="1" customFormat="1" ht="283.35000000000002" customHeight="1">
      <c r="A32" s="293" t="s">
        <v>152</v>
      </c>
      <c r="B32" s="294" t="s">
        <v>127</v>
      </c>
      <c r="C32" s="295" t="s">
        <v>153</v>
      </c>
      <c r="D32" s="296" t="s">
        <v>20</v>
      </c>
      <c r="E32" s="322" t="s">
        <v>183</v>
      </c>
    </row>
    <row r="33" spans="1:5" s="1" customFormat="1" ht="309.60000000000002" customHeight="1">
      <c r="A33" s="293"/>
      <c r="B33" s="294"/>
      <c r="C33" s="295"/>
      <c r="D33" s="296"/>
      <c r="E33" s="322"/>
    </row>
    <row r="34" spans="1:5" s="1" customFormat="1" ht="409.35" customHeight="1">
      <c r="A34" s="298" t="s">
        <v>154</v>
      </c>
      <c r="B34" s="320" t="s">
        <v>86</v>
      </c>
      <c r="C34" s="295" t="s">
        <v>155</v>
      </c>
      <c r="D34" s="296" t="s">
        <v>20</v>
      </c>
      <c r="E34" s="321" t="s">
        <v>184</v>
      </c>
    </row>
    <row r="35" spans="1:5" s="1" customFormat="1" ht="327" customHeight="1">
      <c r="A35" s="298"/>
      <c r="B35" s="320"/>
      <c r="C35" s="295"/>
      <c r="D35" s="296"/>
      <c r="E35" s="321"/>
    </row>
    <row r="36" spans="1:5" s="1" customFormat="1" ht="408.75" customHeight="1">
      <c r="A36" s="298" t="s">
        <v>156</v>
      </c>
      <c r="B36" s="320" t="s">
        <v>21</v>
      </c>
      <c r="C36" s="295" t="s">
        <v>157</v>
      </c>
      <c r="D36" s="296" t="s">
        <v>20</v>
      </c>
      <c r="E36" s="309" t="s">
        <v>185</v>
      </c>
    </row>
    <row r="37" spans="1:5" s="1" customFormat="1" ht="408.75" customHeight="1">
      <c r="A37" s="298"/>
      <c r="B37" s="320"/>
      <c r="C37" s="295"/>
      <c r="D37" s="296"/>
      <c r="E37" s="309"/>
    </row>
    <row r="38" spans="1:5" s="1" customFormat="1" ht="282.60000000000002" customHeight="1">
      <c r="A38" s="298"/>
      <c r="B38" s="320"/>
      <c r="C38" s="295"/>
      <c r="D38" s="296"/>
      <c r="E38" s="309"/>
    </row>
    <row r="39" spans="1:5" ht="409.6" customHeight="1">
      <c r="A39" s="323" t="s">
        <v>158</v>
      </c>
      <c r="B39" s="320" t="s">
        <v>21</v>
      </c>
      <c r="C39" s="313" t="s">
        <v>159</v>
      </c>
      <c r="D39" s="296" t="s">
        <v>20</v>
      </c>
      <c r="E39" s="301" t="s">
        <v>186</v>
      </c>
    </row>
    <row r="40" spans="1:5" ht="409.6" customHeight="1">
      <c r="A40" s="323"/>
      <c r="B40" s="320"/>
      <c r="C40" s="313"/>
      <c r="D40" s="296"/>
      <c r="E40" s="301"/>
    </row>
    <row r="41" spans="1:5" ht="409.6" customHeight="1">
      <c r="A41" s="119" t="s">
        <v>160</v>
      </c>
      <c r="B41" s="120" t="s">
        <v>127</v>
      </c>
      <c r="C41" s="121" t="s">
        <v>161</v>
      </c>
      <c r="D41" s="135" t="s">
        <v>20</v>
      </c>
      <c r="E41" s="122" t="s">
        <v>187</v>
      </c>
    </row>
    <row r="42" spans="1:5" s="1" customFormat="1" ht="186.6" customHeight="1">
      <c r="A42" s="326" t="s">
        <v>162</v>
      </c>
      <c r="B42" s="123" t="s">
        <v>129</v>
      </c>
      <c r="C42" s="124" t="s">
        <v>163</v>
      </c>
      <c r="D42" s="290" t="s">
        <v>20</v>
      </c>
      <c r="E42" s="327" t="s">
        <v>188</v>
      </c>
    </row>
    <row r="43" spans="1:5" s="1" customFormat="1" ht="408.6" customHeight="1">
      <c r="A43" s="326"/>
      <c r="B43" s="123" t="s">
        <v>127</v>
      </c>
      <c r="C43" s="125" t="s">
        <v>164</v>
      </c>
      <c r="D43" s="290"/>
      <c r="E43" s="327"/>
    </row>
    <row r="44" spans="1:5" s="129" customFormat="1" ht="348.6" customHeight="1">
      <c r="A44" s="126" t="s">
        <v>165</v>
      </c>
      <c r="B44" s="127" t="s">
        <v>127</v>
      </c>
      <c r="C44" s="128" t="s">
        <v>166</v>
      </c>
      <c r="D44" s="135" t="s">
        <v>20</v>
      </c>
      <c r="E44" s="128" t="s">
        <v>189</v>
      </c>
    </row>
    <row r="45" spans="1:5" s="129" customFormat="1" ht="348.6" customHeight="1">
      <c r="A45" s="328" t="s">
        <v>167</v>
      </c>
      <c r="B45" s="123" t="s">
        <v>127</v>
      </c>
      <c r="C45" s="130" t="s">
        <v>168</v>
      </c>
      <c r="D45" s="290" t="s">
        <v>20</v>
      </c>
      <c r="E45" s="327" t="s">
        <v>190</v>
      </c>
    </row>
    <row r="46" spans="1:5" s="129" customFormat="1" ht="408.6" customHeight="1">
      <c r="A46" s="328"/>
      <c r="B46" s="131" t="s">
        <v>86</v>
      </c>
      <c r="C46" s="132" t="s">
        <v>169</v>
      </c>
      <c r="D46" s="329"/>
      <c r="E46" s="327"/>
    </row>
    <row r="47" spans="1:5" ht="62.1" customHeight="1">
      <c r="A47" s="324" t="s">
        <v>170</v>
      </c>
      <c r="B47" s="324"/>
      <c r="C47" s="324"/>
      <c r="D47" s="324"/>
      <c r="E47" s="324"/>
    </row>
    <row r="48" spans="1:5" ht="122.1" customHeight="1">
      <c r="A48" s="324"/>
      <c r="B48" s="324"/>
      <c r="C48" s="324"/>
      <c r="D48" s="324"/>
      <c r="E48" s="324"/>
    </row>
    <row r="49" spans="1:5" ht="212.85" customHeight="1">
      <c r="A49" s="325" t="s">
        <v>15</v>
      </c>
      <c r="B49" s="325"/>
      <c r="C49" s="325"/>
      <c r="D49" s="325"/>
      <c r="E49" s="325"/>
    </row>
    <row r="50" spans="1:5" ht="323.10000000000002" customHeight="1">
      <c r="A50" s="325" t="s">
        <v>16</v>
      </c>
      <c r="B50" s="325"/>
      <c r="C50" s="325"/>
      <c r="D50" s="325"/>
      <c r="E50" s="325"/>
    </row>
    <row r="51" spans="1:5" ht="28.5"/>
    <row r="52" spans="1:5" ht="28.5">
      <c r="B52" s="133"/>
    </row>
    <row r="53" spans="1:5" ht="28.5"/>
    <row r="54" spans="1:5" ht="28.5"/>
    <row r="55" spans="1:5" ht="28.5"/>
    <row r="56" spans="1:5" ht="28.5"/>
  </sheetData>
  <sheetProtection algorithmName="SHA-512" hashValue="JFn0o5GT+N3lrnMMEv7Y931E+2M+FVlA3NeAe/hAZdeSy/lQxgj7kb5WSDrhpEhy8nIBnDZSCfmACa0NWhYu1w==" saltValue="ZjxtFJKKIq2fKaBCqul73g==" spinCount="100000" sheet="1" objects="1" scenarios="1"/>
  <mergeCells count="78">
    <mergeCell ref="A47:E48"/>
    <mergeCell ref="A49:E49"/>
    <mergeCell ref="A50:E50"/>
    <mergeCell ref="A42:A43"/>
    <mergeCell ref="D42:D43"/>
    <mergeCell ref="E42:E43"/>
    <mergeCell ref="A45:A46"/>
    <mergeCell ref="D45:D46"/>
    <mergeCell ref="E45:E46"/>
    <mergeCell ref="A36:A38"/>
    <mergeCell ref="B36:B38"/>
    <mergeCell ref="C36:C38"/>
    <mergeCell ref="D36:D38"/>
    <mergeCell ref="E36:E38"/>
    <mergeCell ref="A39:A40"/>
    <mergeCell ref="B39:B40"/>
    <mergeCell ref="C39:C40"/>
    <mergeCell ref="D39:D40"/>
    <mergeCell ref="E39:E40"/>
    <mergeCell ref="A32:A33"/>
    <mergeCell ref="B32:B33"/>
    <mergeCell ref="C32:C33"/>
    <mergeCell ref="D32:D33"/>
    <mergeCell ref="E32:E33"/>
    <mergeCell ref="A34:A35"/>
    <mergeCell ref="B34:B35"/>
    <mergeCell ref="C34:C35"/>
    <mergeCell ref="D34:D35"/>
    <mergeCell ref="E34:E35"/>
    <mergeCell ref="A27:A28"/>
    <mergeCell ref="B27:B28"/>
    <mergeCell ref="C27:C28"/>
    <mergeCell ref="D27:D28"/>
    <mergeCell ref="E27:E28"/>
    <mergeCell ref="A29:A31"/>
    <mergeCell ref="B29:B31"/>
    <mergeCell ref="C29:C31"/>
    <mergeCell ref="D29:D31"/>
    <mergeCell ref="E29:E31"/>
    <mergeCell ref="A22:A23"/>
    <mergeCell ref="B22:B23"/>
    <mergeCell ref="C22:C23"/>
    <mergeCell ref="D22:D23"/>
    <mergeCell ref="E22:E23"/>
    <mergeCell ref="A24:A26"/>
    <mergeCell ref="B24:B26"/>
    <mergeCell ref="C24:C26"/>
    <mergeCell ref="D24:D26"/>
    <mergeCell ref="E24:E26"/>
    <mergeCell ref="A16:A17"/>
    <mergeCell ref="B16:B17"/>
    <mergeCell ref="C16:C17"/>
    <mergeCell ref="D16:D17"/>
    <mergeCell ref="E16:E17"/>
    <mergeCell ref="A19:A21"/>
    <mergeCell ref="B19:B21"/>
    <mergeCell ref="C19:C21"/>
    <mergeCell ref="D19:D21"/>
    <mergeCell ref="E19:E21"/>
    <mergeCell ref="A12:A13"/>
    <mergeCell ref="B12:B13"/>
    <mergeCell ref="C12:C13"/>
    <mergeCell ref="D12:D13"/>
    <mergeCell ref="E12:E13"/>
    <mergeCell ref="A14:A15"/>
    <mergeCell ref="B14:B15"/>
    <mergeCell ref="C14:C15"/>
    <mergeCell ref="D14:D15"/>
    <mergeCell ref="E14:E15"/>
    <mergeCell ref="A1:E1"/>
    <mergeCell ref="A2:E2"/>
    <mergeCell ref="A6:A11"/>
    <mergeCell ref="B6:B8"/>
    <mergeCell ref="C6:C8"/>
    <mergeCell ref="D6:D10"/>
    <mergeCell ref="E6:E10"/>
    <mergeCell ref="B9:B10"/>
    <mergeCell ref="C9:C10"/>
  </mergeCells>
  <conditionalFormatting sqref="C19:C20">
    <cfRule type="duplicateValues" dxfId="9" priority="3"/>
  </conditionalFormatting>
  <conditionalFormatting sqref="C24">
    <cfRule type="duplicateValues" dxfId="8" priority="2"/>
  </conditionalFormatting>
  <conditionalFormatting sqref="C27">
    <cfRule type="duplicateValues" dxfId="7" priority="1"/>
  </conditionalFormatting>
  <conditionalFormatting sqref="C29:C30">
    <cfRule type="duplicateValues" dxfId="6" priority="5"/>
  </conditionalFormatting>
  <conditionalFormatting sqref="C36:C38">
    <cfRule type="duplicateValues" dxfId="5" priority="4"/>
  </conditionalFormatting>
  <conditionalFormatting sqref="C39:C40">
    <cfRule type="duplicateValues" dxfId="4" priority="6"/>
  </conditionalFormatting>
  <pageMargins left="0.25" right="0.25" top="0" bottom="0" header="0.3" footer="0.3"/>
  <pageSetup paperSize="5" scale="32"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00B0F0"/>
  </sheetPr>
  <dimension ref="B1:H12"/>
  <sheetViews>
    <sheetView showGridLines="0" zoomScale="30" zoomScaleNormal="30" workbookViewId="0">
      <selection activeCell="B1" sqref="B1:H1"/>
    </sheetView>
  </sheetViews>
  <sheetFormatPr defaultColWidth="9.28515625" defaultRowHeight="15.75"/>
  <cols>
    <col min="1" max="1" width="1.7109375" style="7" customWidth="1"/>
    <col min="2" max="2" width="60.28515625" style="4" customWidth="1"/>
    <col min="3" max="3" width="98.28515625" style="5" customWidth="1"/>
    <col min="4" max="4" width="61.140625" style="5" customWidth="1"/>
    <col min="5" max="5" width="76.7109375" style="5" customWidth="1"/>
    <col min="6" max="6" width="80.7109375" style="5" customWidth="1"/>
    <col min="7" max="7" width="98.28515625" style="5" customWidth="1"/>
    <col min="8" max="8" width="255.85546875" style="5" customWidth="1"/>
    <col min="9" max="16384" width="9.28515625" style="7"/>
  </cols>
  <sheetData>
    <row r="1" spans="2:8" ht="115.9" customHeight="1" thickBot="1">
      <c r="B1" s="237" t="s">
        <v>282</v>
      </c>
      <c r="C1" s="238"/>
      <c r="D1" s="238"/>
      <c r="E1" s="238"/>
      <c r="F1" s="238"/>
      <c r="G1" s="238"/>
      <c r="H1" s="239"/>
    </row>
    <row r="2" spans="2:8" ht="47.25" customHeight="1" thickBot="1">
      <c r="B2" s="330" t="s">
        <v>7</v>
      </c>
      <c r="C2" s="331"/>
      <c r="D2" s="331"/>
      <c r="E2" s="331"/>
      <c r="F2" s="331"/>
      <c r="G2" s="331"/>
      <c r="H2" s="332"/>
    </row>
    <row r="3" spans="2:8" ht="53.45" customHeight="1">
      <c r="B3" s="11" t="s">
        <v>1</v>
      </c>
      <c r="C3" s="8" t="s">
        <v>2</v>
      </c>
      <c r="D3" s="8" t="s">
        <v>6</v>
      </c>
      <c r="E3" s="8" t="s">
        <v>8</v>
      </c>
      <c r="F3" s="8" t="s">
        <v>4</v>
      </c>
      <c r="G3" s="8" t="s">
        <v>13</v>
      </c>
      <c r="H3" s="12" t="s">
        <v>5</v>
      </c>
    </row>
    <row r="4" spans="2:8" ht="311.64999999999998" customHeight="1">
      <c r="B4" s="154" t="s">
        <v>193</v>
      </c>
      <c r="C4" s="155" t="s">
        <v>241</v>
      </c>
      <c r="D4" s="44" t="s">
        <v>41</v>
      </c>
      <c r="E4" s="139" t="s">
        <v>84</v>
      </c>
      <c r="F4" s="34" t="s">
        <v>20</v>
      </c>
      <c r="G4" s="66" t="s">
        <v>242</v>
      </c>
      <c r="H4" s="153" t="s">
        <v>243</v>
      </c>
    </row>
    <row r="5" spans="2:8" ht="409.6" customHeight="1">
      <c r="B5" s="141" t="s">
        <v>88</v>
      </c>
      <c r="C5" s="42" t="s">
        <v>191</v>
      </c>
      <c r="D5" s="42" t="s">
        <v>9</v>
      </c>
      <c r="E5" s="48" t="s">
        <v>65</v>
      </c>
      <c r="F5" s="42" t="s">
        <v>20</v>
      </c>
      <c r="G5" s="66" t="s">
        <v>192</v>
      </c>
      <c r="H5" s="43" t="s">
        <v>203</v>
      </c>
    </row>
    <row r="6" spans="2:8" ht="311.64999999999998" customHeight="1">
      <c r="B6" s="32" t="s">
        <v>34</v>
      </c>
      <c r="C6" s="33" t="s">
        <v>82</v>
      </c>
      <c r="D6" s="34" t="s">
        <v>9</v>
      </c>
      <c r="E6" s="48" t="s">
        <v>65</v>
      </c>
      <c r="F6" s="34" t="s">
        <v>20</v>
      </c>
      <c r="G6" s="140" t="s">
        <v>83</v>
      </c>
      <c r="H6" s="35" t="s">
        <v>194</v>
      </c>
    </row>
    <row r="7" spans="2:8" ht="409.6" customHeight="1">
      <c r="B7" s="16" t="s">
        <v>10</v>
      </c>
      <c r="C7" s="18" t="s">
        <v>219</v>
      </c>
      <c r="D7" s="15" t="s">
        <v>11</v>
      </c>
      <c r="E7" s="17" t="s">
        <v>220</v>
      </c>
      <c r="F7" s="15" t="s">
        <v>20</v>
      </c>
      <c r="G7" s="15"/>
      <c r="H7" s="13" t="s">
        <v>76</v>
      </c>
    </row>
    <row r="8" spans="2:8" s="3" customFormat="1" ht="61.9" customHeight="1" thickBot="1">
      <c r="B8" s="2"/>
      <c r="C8" s="14"/>
      <c r="D8" s="14"/>
      <c r="E8" s="14"/>
      <c r="F8" s="14"/>
      <c r="G8" s="14"/>
      <c r="H8" s="14"/>
    </row>
    <row r="9" spans="2:8" s="3" customFormat="1" ht="66.95" customHeight="1">
      <c r="B9" s="333" t="s">
        <v>18</v>
      </c>
      <c r="C9" s="334"/>
      <c r="D9" s="334"/>
      <c r="E9" s="334"/>
      <c r="F9" s="334"/>
      <c r="G9" s="334"/>
      <c r="H9" s="335"/>
    </row>
    <row r="10" spans="2:8" s="3" customFormat="1" ht="212.65" customHeight="1" thickBot="1">
      <c r="B10" s="336"/>
      <c r="C10" s="337"/>
      <c r="D10" s="337"/>
      <c r="E10" s="337"/>
      <c r="F10" s="337"/>
      <c r="G10" s="337"/>
      <c r="H10" s="338"/>
    </row>
    <row r="11" spans="2:8" s="3" customFormat="1" ht="212.65" customHeight="1" thickBot="1">
      <c r="B11" s="252" t="s">
        <v>15</v>
      </c>
      <c r="C11" s="253"/>
      <c r="D11" s="253"/>
      <c r="E11" s="253"/>
      <c r="F11" s="253"/>
      <c r="G11" s="253"/>
      <c r="H11" s="254"/>
    </row>
    <row r="12" spans="2:8" ht="62.25" thickBot="1">
      <c r="B12" s="252" t="s">
        <v>16</v>
      </c>
      <c r="C12" s="253"/>
      <c r="D12" s="253"/>
      <c r="E12" s="253"/>
      <c r="F12" s="253"/>
      <c r="G12" s="253"/>
      <c r="H12" s="254"/>
    </row>
  </sheetData>
  <sheetProtection algorithmName="SHA-512" hashValue="3nHMhyE3qn/gXpJCIS38HpmWWZJ4ZWHtUstf3godNSUn1y6Hk1/xOHBGt3qmNpxwlJpQePwjTG+taUkORDGfEA==" saltValue="Qi4uYGiBbw0FLSlVY6txYg==" spinCount="100000" sheet="1" insertColumns="0" selectLockedCells="1"/>
  <mergeCells count="5">
    <mergeCell ref="B1:H1"/>
    <mergeCell ref="B2:H2"/>
    <mergeCell ref="B9:H10"/>
    <mergeCell ref="B11:H11"/>
    <mergeCell ref="B12:H12"/>
  </mergeCells>
  <phoneticPr fontId="78"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49845-B5AF-4587-BC6D-902447B6F348}">
  <sheetPr codeName="Sheet5">
    <tabColor rgb="FFFF0000"/>
  </sheetPr>
  <dimension ref="A1:D22"/>
  <sheetViews>
    <sheetView zoomScale="60" zoomScaleNormal="60" workbookViewId="0">
      <selection sqref="A1:C1"/>
    </sheetView>
  </sheetViews>
  <sheetFormatPr defaultRowHeight="68.650000000000006" customHeight="1"/>
  <cols>
    <col min="1" max="1" width="14" bestFit="1" customWidth="1"/>
    <col min="2" max="2" width="18.42578125" style="28" bestFit="1" customWidth="1"/>
    <col min="3" max="3" width="163.140625" style="3" customWidth="1"/>
    <col min="4" max="4" width="28.140625" customWidth="1"/>
  </cols>
  <sheetData>
    <row r="1" spans="1:4" ht="68.650000000000006" customHeight="1">
      <c r="A1" s="339" t="s">
        <v>282</v>
      </c>
      <c r="B1" s="339"/>
      <c r="C1" s="339"/>
    </row>
    <row r="2" spans="1:4" ht="27.95" customHeight="1" thickBot="1">
      <c r="A2" s="19" t="s">
        <v>22</v>
      </c>
      <c r="B2" s="20" t="s">
        <v>23</v>
      </c>
      <c r="C2" s="21" t="s">
        <v>24</v>
      </c>
    </row>
    <row r="3" spans="1:4" ht="68.650000000000006" customHeight="1">
      <c r="A3" s="36" t="s">
        <v>32</v>
      </c>
      <c r="B3" s="30">
        <v>12</v>
      </c>
      <c r="C3" s="31" t="s">
        <v>60</v>
      </c>
    </row>
    <row r="4" spans="1:4" ht="68.650000000000006" customHeight="1">
      <c r="A4" s="37" t="s">
        <v>71</v>
      </c>
      <c r="B4" s="69">
        <v>20</v>
      </c>
      <c r="C4" s="23" t="s">
        <v>72</v>
      </c>
    </row>
    <row r="5" spans="1:4" ht="68.650000000000006" customHeight="1">
      <c r="A5" s="71" t="s">
        <v>74</v>
      </c>
      <c r="B5" s="67">
        <v>35</v>
      </c>
      <c r="C5" s="68" t="s">
        <v>75</v>
      </c>
    </row>
    <row r="6" spans="1:4" ht="68.650000000000006" customHeight="1">
      <c r="A6" s="158" t="s">
        <v>222</v>
      </c>
      <c r="B6" s="159">
        <v>40</v>
      </c>
      <c r="C6" s="160" t="s">
        <v>221</v>
      </c>
      <c r="D6" s="158" t="s">
        <v>95</v>
      </c>
    </row>
    <row r="7" spans="1:4" ht="68.650000000000006" customHeight="1">
      <c r="A7" s="103" t="s">
        <v>94</v>
      </c>
      <c r="B7" s="104">
        <v>45</v>
      </c>
      <c r="C7" s="23" t="s">
        <v>117</v>
      </c>
      <c r="D7" s="103" t="s">
        <v>95</v>
      </c>
    </row>
    <row r="8" spans="1:4" ht="68.650000000000006" customHeight="1">
      <c r="A8" s="62" t="s">
        <v>35</v>
      </c>
      <c r="B8" s="38">
        <v>50</v>
      </c>
      <c r="C8" s="39" t="s">
        <v>61</v>
      </c>
    </row>
    <row r="9" spans="1:4" ht="68.650000000000006" customHeight="1">
      <c r="A9" s="98" t="s">
        <v>97</v>
      </c>
      <c r="B9" s="99">
        <v>65</v>
      </c>
      <c r="C9" s="39" t="s">
        <v>109</v>
      </c>
      <c r="D9" s="97" t="s">
        <v>101</v>
      </c>
    </row>
    <row r="10" spans="1:4" ht="68.650000000000006" customHeight="1">
      <c r="A10" s="98" t="s">
        <v>98</v>
      </c>
      <c r="B10" s="99">
        <v>75</v>
      </c>
      <c r="C10" s="39" t="s">
        <v>110</v>
      </c>
      <c r="D10" s="97" t="s">
        <v>102</v>
      </c>
    </row>
    <row r="11" spans="1:4" ht="68.650000000000006" customHeight="1">
      <c r="A11" s="146" t="s">
        <v>100</v>
      </c>
      <c r="B11" s="147">
        <v>95</v>
      </c>
      <c r="C11" s="148" t="s">
        <v>204</v>
      </c>
      <c r="D11" s="149"/>
    </row>
    <row r="12" spans="1:4" ht="68.650000000000006" customHeight="1">
      <c r="A12" s="100" t="s">
        <v>112</v>
      </c>
      <c r="B12" s="101">
        <v>100</v>
      </c>
      <c r="C12" s="102" t="s">
        <v>111</v>
      </c>
      <c r="D12" s="97" t="s">
        <v>103</v>
      </c>
    </row>
    <row r="13" spans="1:4" ht="68.650000000000006" customHeight="1" thickBot="1">
      <c r="A13" s="19" t="s">
        <v>22</v>
      </c>
      <c r="B13" s="20" t="s">
        <v>23</v>
      </c>
      <c r="C13" s="27" t="s">
        <v>26</v>
      </c>
    </row>
    <row r="14" spans="1:4" ht="68.25" customHeight="1">
      <c r="A14" s="63" t="s">
        <v>36</v>
      </c>
      <c r="B14" s="40">
        <v>50</v>
      </c>
      <c r="C14" s="41" t="s">
        <v>64</v>
      </c>
    </row>
    <row r="15" spans="1:4" ht="68.25" customHeight="1">
      <c r="A15" s="63" t="s">
        <v>37</v>
      </c>
      <c r="B15" s="40">
        <v>60</v>
      </c>
      <c r="C15" s="41" t="s">
        <v>63</v>
      </c>
    </row>
    <row r="16" spans="1:4" ht="68.25" customHeight="1">
      <c r="A16" s="63" t="s">
        <v>38</v>
      </c>
      <c r="B16" s="40">
        <v>70</v>
      </c>
      <c r="C16" s="41" t="s">
        <v>62</v>
      </c>
    </row>
    <row r="17" spans="1:4" ht="69" customHeight="1">
      <c r="A17" s="96" t="s">
        <v>99</v>
      </c>
      <c r="B17" s="67">
        <v>100</v>
      </c>
      <c r="C17" s="102" t="s">
        <v>111</v>
      </c>
      <c r="D17" s="97" t="s">
        <v>103</v>
      </c>
    </row>
    <row r="18" spans="1:4" ht="68.650000000000006" customHeight="1" thickBot="1">
      <c r="A18" s="45" t="s">
        <v>22</v>
      </c>
      <c r="B18" s="46" t="s">
        <v>27</v>
      </c>
      <c r="C18" s="47" t="s">
        <v>28</v>
      </c>
    </row>
    <row r="19" spans="1:4" ht="68.650000000000006" customHeight="1">
      <c r="A19" s="96" t="s">
        <v>104</v>
      </c>
      <c r="B19" s="67" t="s">
        <v>66</v>
      </c>
      <c r="C19" s="68" t="s">
        <v>67</v>
      </c>
      <c r="D19" s="97" t="s">
        <v>113</v>
      </c>
    </row>
    <row r="20" spans="1:4" ht="68.650000000000006" customHeight="1">
      <c r="A20" s="96" t="s">
        <v>105</v>
      </c>
      <c r="B20" s="67" t="s">
        <v>68</v>
      </c>
      <c r="C20" s="68" t="s">
        <v>69</v>
      </c>
      <c r="D20" s="97" t="s">
        <v>114</v>
      </c>
    </row>
    <row r="21" spans="1:4" ht="68.650000000000006" customHeight="1">
      <c r="A21" s="150" t="s">
        <v>106</v>
      </c>
      <c r="B21" s="151" t="s">
        <v>70</v>
      </c>
      <c r="C21" s="152" t="s">
        <v>205</v>
      </c>
      <c r="D21" s="97" t="s">
        <v>115</v>
      </c>
    </row>
    <row r="22" spans="1:4" ht="68.650000000000006" customHeight="1">
      <c r="A22" s="96" t="s">
        <v>107</v>
      </c>
      <c r="B22" s="67" t="s">
        <v>108</v>
      </c>
      <c r="C22" s="68" t="s">
        <v>116</v>
      </c>
      <c r="D22" s="97" t="s">
        <v>95</v>
      </c>
    </row>
  </sheetData>
  <sheetProtection algorithmName="SHA-512" hashValue="+XVQXawm2Z4TsxzsXWULz5iWTi/SWOSBpGoE4X4uh0qpN08brZq5eEXeaU7MW5AoihpZoVGP0BhhdDCuY29TIA==" saltValue="ESmXAvvnX7SnczSJCGCgtg==" spinCount="100000" sheet="1" objects="1" scenarios="1"/>
  <mergeCells count="1">
    <mergeCell ref="A1:C1"/>
  </mergeCells>
  <phoneticPr fontId="78" type="noConversion"/>
  <conditionalFormatting sqref="A8 A10:A11">
    <cfRule type="duplicateValues" dxfId="3" priority="6"/>
  </conditionalFormatting>
  <conditionalFormatting sqref="A9">
    <cfRule type="duplicateValues" dxfId="2" priority="4"/>
  </conditionalFormatting>
  <conditionalFormatting sqref="A12">
    <cfRule type="duplicateValues" dxfId="1" priority="3"/>
  </conditionalFormatting>
  <conditionalFormatting sqref="A17">
    <cfRule type="duplicateValues" dxfId="0" priority="1"/>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CA5C7-B587-4396-BCB2-47E2FBE88613}">
  <sheetPr codeName="Sheet6">
    <tabColor rgb="FFFF0000"/>
  </sheetPr>
  <dimension ref="A1:D3"/>
  <sheetViews>
    <sheetView zoomScale="70" zoomScaleNormal="70" workbookViewId="0">
      <selection activeCell="C12" sqref="C12"/>
    </sheetView>
  </sheetViews>
  <sheetFormatPr defaultRowHeight="15"/>
  <cols>
    <col min="1" max="1" width="21.7109375" customWidth="1"/>
    <col min="2" max="2" width="17.7109375" customWidth="1"/>
    <col min="3" max="3" width="142.85546875" customWidth="1"/>
    <col min="4" max="4" width="69.42578125" style="29" customWidth="1"/>
  </cols>
  <sheetData>
    <row r="1" spans="1:4" ht="53.1" customHeight="1">
      <c r="A1" s="340" t="s">
        <v>59</v>
      </c>
      <c r="B1" s="340"/>
      <c r="C1" s="340"/>
      <c r="D1" s="341"/>
    </row>
    <row r="2" spans="1:4" ht="19.5" thickBot="1">
      <c r="A2" s="19" t="s">
        <v>22</v>
      </c>
      <c r="B2" s="20" t="s">
        <v>27</v>
      </c>
      <c r="C2" s="21" t="s">
        <v>24</v>
      </c>
      <c r="D2" s="22" t="s">
        <v>25</v>
      </c>
    </row>
    <row r="3" spans="1:4" ht="46.35" customHeight="1">
      <c r="A3" s="24" t="s">
        <v>29</v>
      </c>
      <c r="B3" s="25">
        <v>39</v>
      </c>
      <c r="C3" s="23" t="s">
        <v>30</v>
      </c>
      <c r="D3" s="26"/>
    </row>
  </sheetData>
  <mergeCells count="1">
    <mergeCell ref="A1:D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a42cf0e-cb0b-4aba-a01b-b2a3e0c9b72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0B2C189F0E5843AE20AD8E142DACAC" ma:contentTypeVersion="17" ma:contentTypeDescription="Crear nuevo documento." ma:contentTypeScope="" ma:versionID="68a90112e4060e9f4068bed050d15a20">
  <xsd:schema xmlns:xsd="http://www.w3.org/2001/XMLSchema" xmlns:xs="http://www.w3.org/2001/XMLSchema" xmlns:p="http://schemas.microsoft.com/office/2006/metadata/properties" xmlns:ns3="12acd1d8-88b3-4705-a81b-ad89df42a3bc" xmlns:ns4="ba42cf0e-cb0b-4aba-a01b-b2a3e0c9b724" targetNamespace="http://schemas.microsoft.com/office/2006/metadata/properties" ma:root="true" ma:fieldsID="190c1fc61f75533509ba7c36f0ff96bd" ns3:_="" ns4:_="">
    <xsd:import namespace="12acd1d8-88b3-4705-a81b-ad89df42a3bc"/>
    <xsd:import namespace="ba42cf0e-cb0b-4aba-a01b-b2a3e0c9b72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MediaServiceLocation" minOccurs="0"/>
                <xsd:element ref="ns4:MediaServiceAutoKeyPoints" minOccurs="0"/>
                <xsd:element ref="ns4:MediaServiceKeyPoints" minOccurs="0"/>
                <xsd:element ref="ns4:_activity" minOccurs="0"/>
                <xsd:element ref="ns4:MediaServiceObjectDetectorVersion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acd1d8-88b3-4705-a81b-ad89df42a3bc"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element name="SharingHintHash" ma:index="10" nillable="true" ma:displayName="Hash de la sugerencia para compartir"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42cf0e-cb0b-4aba-a01b-b2a3e0c9b724"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1C30B3-9A06-4CEA-B974-C5A3F9BD5BE4}">
  <ds:schemaRefs>
    <ds:schemaRef ds:uri="http://schemas.microsoft.com/office/infopath/2007/PartnerControls"/>
    <ds:schemaRef ds:uri="http://purl.org/dc/dcmitype/"/>
    <ds:schemaRef ds:uri="ba42cf0e-cb0b-4aba-a01b-b2a3e0c9b724"/>
    <ds:schemaRef ds:uri="http://schemas.microsoft.com/office/2006/documentManagement/types"/>
    <ds:schemaRef ds:uri="http://purl.org/dc/elements/1.1/"/>
    <ds:schemaRef ds:uri="http://www.w3.org/XML/1998/namespace"/>
    <ds:schemaRef ds:uri="http://purl.org/dc/terms/"/>
    <ds:schemaRef ds:uri="http://schemas.openxmlformats.org/package/2006/metadata/core-properties"/>
    <ds:schemaRef ds:uri="12acd1d8-88b3-4705-a81b-ad89df42a3bc"/>
    <ds:schemaRef ds:uri="http://schemas.microsoft.com/office/2006/metadata/properties"/>
  </ds:schemaRefs>
</ds:datastoreItem>
</file>

<file path=customXml/itemProps2.xml><?xml version="1.0" encoding="utf-8"?>
<ds:datastoreItem xmlns:ds="http://schemas.openxmlformats.org/officeDocument/2006/customXml" ds:itemID="{CF84AFB1-13DB-495B-8FFA-A8F05C8BEF27}">
  <ds:schemaRefs>
    <ds:schemaRef ds:uri="http://schemas.microsoft.com/sharepoint/v3/contenttype/forms"/>
  </ds:schemaRefs>
</ds:datastoreItem>
</file>

<file path=customXml/itemProps3.xml><?xml version="1.0" encoding="utf-8"?>
<ds:datastoreItem xmlns:ds="http://schemas.openxmlformats.org/officeDocument/2006/customXml" ds:itemID="{683C98D9-A563-4A8C-AC00-73B0F5A4B5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acd1d8-88b3-4705-a81b-ad89df42a3bc"/>
    <ds:schemaRef ds:uri="ba42cf0e-cb0b-4aba-a01b-b2a3e0c9b7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Ofertas con desc plan $35-$85</vt:lpstr>
      <vt:lpstr>Ofertas Equipos en Portafolio</vt:lpstr>
      <vt:lpstr>Ofertas Equipos en Li</vt:lpstr>
      <vt:lpstr>Ofertas Planes y Bonos</vt:lpstr>
      <vt:lpstr>Planes de Lista</vt:lpstr>
      <vt:lpstr>PLANES PROMOCIONALES</vt:lpstr>
      <vt:lpstr>'Ofertas con desc plan $35-$85'!Print_Area</vt:lpstr>
      <vt:lpstr>'Ofertas Equipos en Li'!Print_Area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ANNIE L ROMAN ACEVEDO</dc:creator>
  <cp:lastModifiedBy>MELANIE AYALA</cp:lastModifiedBy>
  <cp:lastPrinted>2020-03-04T19:35:12Z</cp:lastPrinted>
  <dcterms:created xsi:type="dcterms:W3CDTF">2012-08-23T15:46:51Z</dcterms:created>
  <dcterms:modified xsi:type="dcterms:W3CDTF">2025-11-26T23:45:52Z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0x0101003E0B2C189F0E5843AE20AD8E142DACAC</vt:lpwstr>
  </property>
  <property fmtid="{D5CDD505-2E9C-101B-9397-08002B2CF9AE}" pid="3" name="MSIP_Label_70cb32a6-42be-419f-8d6c-e004b006daae_Enabled">
    <vt:lpwstr>true</vt:lpwstr>
  </property>
  <property fmtid="{D5CDD505-2E9C-101B-9397-08002B2CF9AE}" pid="4" name="MSIP_Label_70cb32a6-42be-419f-8d6c-e004b006daae_SetDate">
    <vt:lpwstr>2021-04-19T23:34:37Z</vt:lpwstr>
  </property>
  <property fmtid="{D5CDD505-2E9C-101B-9397-08002B2CF9AE}" pid="5" name="MSIP_Label_70cb32a6-42be-419f-8d6c-e004b006daae_Method">
    <vt:lpwstr>Standard</vt:lpwstr>
  </property>
  <property fmtid="{D5CDD505-2E9C-101B-9397-08002B2CF9AE}" pid="6" name="MSIP_Label_70cb32a6-42be-419f-8d6c-e004b006daae_Name">
    <vt:lpwstr>70cb32a6-42be-419f-8d6c-e004b006daae</vt:lpwstr>
  </property>
  <property fmtid="{D5CDD505-2E9C-101B-9397-08002B2CF9AE}" pid="7" name="MSIP_Label_70cb32a6-42be-419f-8d6c-e004b006daae_SiteId">
    <vt:lpwstr>0cb501d9-65f6-43a5-85cf-0058bde67d53</vt:lpwstr>
  </property>
  <property fmtid="{D5CDD505-2E9C-101B-9397-08002B2CF9AE}" pid="8" name="MSIP_Label_70cb32a6-42be-419f-8d6c-e004b006daae_ActionId">
    <vt:lpwstr>4f0e0d6f-7de9-4c92-8cda-2859182234cb</vt:lpwstr>
  </property>
  <property fmtid="{D5CDD505-2E9C-101B-9397-08002B2CF9AE}" pid="9" name="MSIP_Label_70cb32a6-42be-419f-8d6c-e004b006daae_ContentBits">
    <vt:lpwstr>0</vt:lpwstr>
  </property>
</Properties>
</file>